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435"/>
  </bookViews>
  <sheets>
    <sheet name="Sheet1" sheetId="1" r:id="rId1"/>
    <sheet name="Sheet3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6" i="1" l="1"/>
  <c r="D256" i="1"/>
  <c r="E255" i="1"/>
  <c r="D255" i="1"/>
  <c r="C246" i="1"/>
  <c r="C245" i="1"/>
  <c r="C24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E175" i="1" l="1"/>
  <c r="D175" i="1"/>
  <c r="E161" i="1" l="1"/>
  <c r="D161" i="1"/>
  <c r="E160" i="1"/>
  <c r="D160" i="1"/>
  <c r="E159" i="1"/>
  <c r="D159" i="1"/>
  <c r="E158" i="1"/>
  <c r="D158" i="1"/>
  <c r="E157" i="1"/>
  <c r="D157" i="1"/>
  <c r="E154" i="1" l="1"/>
  <c r="D154" i="1"/>
  <c r="E153" i="1"/>
  <c r="D153" i="1"/>
  <c r="E152" i="1"/>
  <c r="D152" i="1"/>
  <c r="E148" i="1" l="1"/>
  <c r="D148" i="1"/>
  <c r="E149" i="1"/>
  <c r="D149" i="1"/>
  <c r="D116" i="1" l="1"/>
  <c r="E116" i="1"/>
  <c r="E115" i="1"/>
  <c r="D115" i="1"/>
  <c r="E113" i="1"/>
  <c r="D113" i="1"/>
  <c r="E112" i="1"/>
  <c r="D112" i="1"/>
  <c r="E111" i="1"/>
  <c r="D111" i="1"/>
  <c r="C37" i="1" l="1"/>
  <c r="C39" i="1"/>
  <c r="C38" i="1"/>
  <c r="C36" i="1"/>
  <c r="C68" i="1"/>
  <c r="E81" i="1" l="1"/>
  <c r="D81" i="1"/>
  <c r="C80" i="1"/>
  <c r="E80" i="1" s="1"/>
  <c r="E79" i="1"/>
  <c r="D79" i="1"/>
  <c r="E78" i="1"/>
  <c r="D78" i="1"/>
  <c r="E76" i="1"/>
  <c r="D76" i="1"/>
  <c r="D80" i="1" l="1"/>
  <c r="C75" i="1"/>
  <c r="E75" i="1" s="1"/>
  <c r="C74" i="1"/>
  <c r="D74" i="1" s="1"/>
  <c r="C73" i="1"/>
  <c r="E73" i="1" s="1"/>
  <c r="C72" i="1"/>
  <c r="E72" i="1" s="1"/>
  <c r="C71" i="1"/>
  <c r="E71" i="1" s="1"/>
  <c r="C70" i="1"/>
  <c r="D70" i="1" s="1"/>
  <c r="C69" i="1"/>
  <c r="D69" i="1" s="1"/>
  <c r="E68" i="1"/>
  <c r="D68" i="1"/>
  <c r="C67" i="1"/>
  <c r="D67" i="1" s="1"/>
  <c r="C66" i="1"/>
  <c r="D66" i="1" s="1"/>
  <c r="C65" i="1"/>
  <c r="D65" i="1" s="1"/>
  <c r="C64" i="1"/>
  <c r="E64" i="1" s="1"/>
  <c r="C63" i="1"/>
  <c r="D63" i="1" s="1"/>
  <c r="C62" i="1"/>
  <c r="D62" i="1" s="1"/>
  <c r="C61" i="1"/>
  <c r="E61" i="1" s="1"/>
  <c r="C60" i="1"/>
  <c r="E60" i="1" s="1"/>
  <c r="C59" i="1"/>
  <c r="D59" i="1" s="1"/>
  <c r="E63" i="1" l="1"/>
  <c r="E69" i="1"/>
  <c r="D73" i="1"/>
  <c r="E59" i="1"/>
  <c r="E66" i="1"/>
  <c r="E74" i="1"/>
  <c r="E62" i="1"/>
  <c r="E70" i="1"/>
  <c r="E67" i="1"/>
  <c r="D60" i="1"/>
  <c r="E65" i="1"/>
  <c r="D71" i="1"/>
  <c r="D61" i="1"/>
  <c r="D72" i="1"/>
  <c r="D64" i="1"/>
  <c r="D75" i="1"/>
  <c r="E58" i="1"/>
  <c r="D58" i="1"/>
  <c r="E57" i="1"/>
  <c r="D57" i="1"/>
  <c r="E54" i="1"/>
  <c r="D54" i="1"/>
  <c r="E52" i="1"/>
  <c r="D52" i="1"/>
  <c r="E51" i="1"/>
  <c r="D51" i="1"/>
  <c r="D50" i="1"/>
  <c r="E50" i="1"/>
  <c r="E44" i="1" l="1"/>
  <c r="E1" i="3" l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13" i="1" l="1"/>
  <c r="D13" i="1"/>
  <c r="E12" i="1"/>
  <c r="D12" i="1"/>
</calcChain>
</file>

<file path=xl/sharedStrings.xml><?xml version="1.0" encoding="utf-8"?>
<sst xmlns="http://schemas.openxmlformats.org/spreadsheetml/2006/main" count="576" uniqueCount="450">
  <si>
    <t>Name</t>
  </si>
  <si>
    <t>Reference</t>
  </si>
  <si>
    <t>Upper</t>
  </si>
  <si>
    <t>Lower</t>
  </si>
  <si>
    <t>C12-SO4-Na</t>
  </si>
  <si>
    <t>CCCCCCCCCCCCOS(=O)([O-])=O</t>
  </si>
  <si>
    <t>CC(OCCCCCCCC)COC(C)COC(C)COC(C)COCCOS([O-])(=O)=O</t>
  </si>
  <si>
    <t>CC(OCCCCCCCC)COC(C)COC(C)COC(C)COS([O-])(=O)=O</t>
  </si>
  <si>
    <t>C8-(PO4)-(EO1)-SO4Na</t>
  </si>
  <si>
    <t>C8-(PO4)-SO4Na</t>
  </si>
  <si>
    <t>CC(OCCCCCCCCCC)COC(C)COC(C)COC(C)COCCOS([O-])(=O)=O</t>
  </si>
  <si>
    <t>C10-(PO4)-(EO1)-SO4Na</t>
  </si>
  <si>
    <t>CC(OCCCCCCCCCC)COC(C)COC(C)COC(C)COS([O-])(=O)=O</t>
  </si>
  <si>
    <t>C10-(PO4)-SO4Na</t>
  </si>
  <si>
    <t>Sodium laureth sulfate</t>
  </si>
  <si>
    <t>[O-]S(=O)(=O)OCCOCCOCCOCCCCCCCCCCCC</t>
  </si>
  <si>
    <t>Budhathoki M. et al. Design of an optimal middle phase microemulsion for ultra high saline brine using hydrophilic lipophilic deviation (HLD) method //Colloids and Surfaces A: Physicochemical and Engineering Aspects. – 2016. – Т. 488. – С. 36-45.</t>
  </si>
  <si>
    <t>SDHS</t>
  </si>
  <si>
    <t>CCCCCCOC(=O)CC(C(=O)OCCCCCC)S(=O)(=O)[O-]</t>
  </si>
  <si>
    <t>Design of Viscoelastic Surfactant-Oil-Water Structures with the Hydrophilic-Lipophilic Difference (HLD) and Net-Average Curvature (NAC) Frameworks: these by Francis Ming Hei Choi</t>
  </si>
  <si>
    <t>AOT</t>
  </si>
  <si>
    <t>CCCCC(CC)COC(=O)CC(C(=O)OCC(CC)CCCC)S(=O)(=O)[O-]</t>
  </si>
  <si>
    <t>[O-]S(=O)(=O)OCCOCCOCCCCCCCCCCCCCC</t>
  </si>
  <si>
    <t>CC(OCCCCCCCCCCCCC)COC(C)COC(C)COC(C)COC(C)COC(C)COC(C)COC(C)COS([O-])(=O)=O</t>
  </si>
  <si>
    <t>C12H25-(PO)12-(EO)2-SO4Na</t>
  </si>
  <si>
    <t>C14-(EO2)-SO4Na</t>
  </si>
  <si>
    <t>C13-(PO8)-SO4Na</t>
  </si>
  <si>
    <t>CC(OCCCCCCCCCCCC)COC(C)COC(C)COC(C)COC(C)COC(C)COC(C)COC(C)COC(C)COC(C)COC(C)COC(C)COCCOCCOS([O-])(=O)=O</t>
  </si>
  <si>
    <t>CC(OCCCCCCCCCCCC)COC(C)COC(C)COC(C)COC(C)COC(C)COC(C)COC(C)COC(C)COC(C)COC(C)COC(C)COC(C)COC(C)COCCOCCOS([O-])(=O)=O</t>
  </si>
  <si>
    <t>C12H25-(PO)14-(EO)2-SO4Na</t>
  </si>
  <si>
    <t>CC(OCCCCCCCCCCCCCC)COC(C)COC(C)COC(C)COC(C)COC(C)COC(C)COC(C)COOS([O-])(=O)=O</t>
  </si>
  <si>
    <t>C14-(PO)8-SO4Na</t>
  </si>
  <si>
    <t>Wan W. et al. Characterization of crude oil equivalent alkane carbon number (EACN) for surfactant flooding design //Journal of Dispersion Science and Technology. – 2016. – Т. 37. – №. 2. – С. 280-287.</t>
  </si>
  <si>
    <t>C9GE6</t>
  </si>
  <si>
    <t>CCCCCCCCCOCCOCCOCCOCCOCCOCCOCC(O)C(O)</t>
  </si>
  <si>
    <t>C13E8</t>
  </si>
  <si>
    <t>CCCCCCCCCCCCCOCCOCCOCCOCCOCCOCCOCCOCCO</t>
  </si>
  <si>
    <t>C9E4</t>
  </si>
  <si>
    <t>CCCCCCCCCOCCOCCOCCOCCO</t>
  </si>
  <si>
    <t>C13E6</t>
  </si>
  <si>
    <t>CCCCCCCCCCCCCOCCOCCOCCOCCOCCOCCO</t>
  </si>
  <si>
    <t>Zarate-Muñoz S., Troncoso A. B., Acosta E. The cloud point of alkyl ethoxylates and its prediction with the hydrophilic–lipophilic difference (HLD) framework //Langmuir. – 2015. – Т. 31. – №. 44. – С. 12000-12008.</t>
  </si>
  <si>
    <t>C10PO4S</t>
  </si>
  <si>
    <t>CCCCCCCCCCOC(C)COC(C)COC(C)COC(C)COS(=O)(=O)[O-]</t>
  </si>
  <si>
    <t>C9PhE5</t>
  </si>
  <si>
    <t>C9E5</t>
  </si>
  <si>
    <t>CCCCCCCCCOCCOCCOCCOCCOCCO</t>
  </si>
  <si>
    <t>C6E2</t>
  </si>
  <si>
    <t>CCCCCCOCCOCCO</t>
  </si>
  <si>
    <t>C8E3</t>
  </si>
  <si>
    <t>CCCCCCCCOCCOCCOCCO</t>
  </si>
  <si>
    <t>C8E4</t>
  </si>
  <si>
    <t>CCCCCCCCOCCOCCOCCOCCO</t>
  </si>
  <si>
    <t>C8E5</t>
  </si>
  <si>
    <t>CCCCCCCCOCCOCCOCCOCCOCCO</t>
  </si>
  <si>
    <t>C10E4</t>
  </si>
  <si>
    <t>CCCCCCCCCCOCCOCCOCCOCCO</t>
  </si>
  <si>
    <t>C10E5</t>
  </si>
  <si>
    <t>CCCCCCCCCCOCCOCCOCCOCCOCCO</t>
  </si>
  <si>
    <t>C10E6</t>
  </si>
  <si>
    <t>CCCCCCCCCCOCCOCCOCCOCCOCCOCCO</t>
  </si>
  <si>
    <t>C12E4</t>
  </si>
  <si>
    <t>CCCCCCCCCCCCOCCOCCOCCOCCO</t>
  </si>
  <si>
    <t>C12E5</t>
  </si>
  <si>
    <t>CCCCCCCCCCCCOCCOCCOCCOCCOCCO</t>
  </si>
  <si>
    <t>C12E6</t>
  </si>
  <si>
    <t>CCCCCCCCCCCCOCCOCCOCCOCCOCCOCCO</t>
  </si>
  <si>
    <t>Acosta E. J. The HLD–NAC equation of state for microemulsions formulated with nonionic alcohol ethoxylate and alkylphenol ethoxylate surfactants //Colloids and Surfaces A: Physicochemical and Engineering Aspects. – 2008. – Т. 320. – №. 1-3. – С. 193-204.</t>
  </si>
  <si>
    <t>LTAB</t>
  </si>
  <si>
    <t xml:space="preserve">CCCCCCCCCCCC[N+](C)(C)(C) </t>
  </si>
  <si>
    <t>MTAB</t>
  </si>
  <si>
    <t xml:space="preserve">CCCCCCCCCCCCCC[N+](C)(C)(C) </t>
  </si>
  <si>
    <t>DDAB</t>
  </si>
  <si>
    <t>CTAB</t>
  </si>
  <si>
    <t xml:space="preserve">CCCCCCCCCCCCCCCC[N+](C)(C)(C) </t>
  </si>
  <si>
    <t>CCCCCCCCCCCC[N+](C)(C)CCCCCCCCCCCC</t>
  </si>
  <si>
    <t>BDHC</t>
  </si>
  <si>
    <t>c1ccccc1C[N+](C)(C)CCCCCCCCCCCCCCCC</t>
  </si>
  <si>
    <t>CMIC</t>
  </si>
  <si>
    <t xml:space="preserve">CCCCCCCCCCCCCCCCN1C=C[N+](=C1)C.[Cl-] </t>
  </si>
  <si>
    <t>LDAO</t>
  </si>
  <si>
    <t>CCCCCCCCCCCC[N+](C)(C)[O-]</t>
  </si>
  <si>
    <t>EMPIGEN</t>
  </si>
  <si>
    <t>AMMONYX</t>
  </si>
  <si>
    <t>CCCCCCCCCCCCC[N+](C)(C)[O-]</t>
  </si>
  <si>
    <t>CCCCCCCCCCCCCCC[N+](C)(C)[O-]</t>
  </si>
  <si>
    <t>Schirone D. et al. An HLD framework for cationic ammonium surfactants //JCIS Open. – 2021. – Т. 4. – С. 100033.</t>
  </si>
  <si>
    <t>C12Gly2O</t>
  </si>
  <si>
    <t>CCCCCCCCCCCCOCC(O)COCC(O)C</t>
  </si>
  <si>
    <t>Delforce L. et al. Rational design of O/W nanoemulsions based on the surfactant dodecyldiglyceryl ether using the normalized HLD concept and the formulation-composition map //Colloids and Surfaces A: Physicochemical and Engineering Aspects. – 2023. – Т. 671. – С. 131679.</t>
  </si>
  <si>
    <t>C12E3</t>
  </si>
  <si>
    <t>CCCCCCCCCCCCOCCOCCOCCO</t>
  </si>
  <si>
    <t>C12E7</t>
  </si>
  <si>
    <t>CCCCCCCCCCCCOCCOCCOCCOCCOCCOCCOCCO</t>
  </si>
  <si>
    <t>C12E8</t>
  </si>
  <si>
    <t>CCCCCCCCCCCCOCCOCCOCCOCCOCCOCCOCCOCCO</t>
  </si>
  <si>
    <t>Lemahieu G. et al. The Salinity-Phase-Inversion method (SPI-slope): A straightforward experimental approach to assess the hydrophilic-lipophilic-ratio and the salt-sensitivity of surfactants //Journal of Colloid and Interface Science. – 2022. – Т. 608. – С. 549-563.</t>
  </si>
  <si>
    <t>C4E1</t>
  </si>
  <si>
    <t>CCCCOCCO</t>
  </si>
  <si>
    <t>C4E2</t>
  </si>
  <si>
    <t>CCCCOCCOCCO</t>
  </si>
  <si>
    <t>C6E3</t>
  </si>
  <si>
    <t>CCCCCCOCCOCCOCCO</t>
  </si>
  <si>
    <t>C6E4</t>
  </si>
  <si>
    <t>CCCCCCOCCOCCOCCOCCO</t>
  </si>
  <si>
    <t>C8E6</t>
  </si>
  <si>
    <t>CCCCCCCCOCCOCCOCCOCCOCCOCCO</t>
  </si>
  <si>
    <t>Aubry J. M. et al. Use of the normalized hydrophilic-lipophilic-deviation (HLDN) equation for determining the equivalent alkane carbon number (EACN) of oils and the preferred alkane carbon number (PACN) of nonionic surfactants by the fish-tail method (FTM) //Advances in Colloid and Interface Science. – 2020. – Т. 276. – С. 102099.</t>
  </si>
  <si>
    <t>810FD-5</t>
  </si>
  <si>
    <t>TDA-6</t>
  </si>
  <si>
    <t>CCC(C)CCC(CCC)CCCCOCCOCCOCCOCCOCCOCCOCCO</t>
  </si>
  <si>
    <t>OD-5</t>
  </si>
  <si>
    <t>CCCCCCCCCOC(O)COCCOCCOCCOCCOCCOCCO</t>
  </si>
  <si>
    <t>C11E5</t>
  </si>
  <si>
    <t>CCCCCCCCCCCOCCOCCOCCOCCOCCO</t>
  </si>
  <si>
    <t>Span 20</t>
  </si>
  <si>
    <t>CCCCCCCCCCCC(=O)OCC([C@@H]1[C@@H]([C@H](CO1)O)O)O</t>
  </si>
  <si>
    <t>Zarate-Munoz S. et al. A simplified methodology to measure the characteristic curvature (Cc) of alkyl ethoxylate nonionic surfactants //Journal of Surfactants and Detergents. – 2016. – Т. 19. – С. 249-263.</t>
  </si>
  <si>
    <t>Oleic acid</t>
  </si>
  <si>
    <t>CCCCCCCC/C=C\CCCCCCCC(=O)O</t>
  </si>
  <si>
    <t>Sodium oleate</t>
  </si>
  <si>
    <t>CCCCCCCC/C=C\CCCCCCCC(=O)[O-]</t>
  </si>
  <si>
    <t>Sodium octanoate</t>
  </si>
  <si>
    <t>CCCCCCCC(=O)[O-]</t>
  </si>
  <si>
    <t>Glycerol monooleate</t>
  </si>
  <si>
    <t>CCCCCCCC/C=C\CCCCCCCC(=O)OCC(O)CO</t>
  </si>
  <si>
    <t>Sodium lauroyl sarcosinate</t>
  </si>
  <si>
    <t>CCCCCCCCCCCC(=O)N(C)CC(=O)[O-]</t>
  </si>
  <si>
    <t>Sucrose palmitate</t>
  </si>
  <si>
    <t>CCCCCCCCCCCCCCCC(=O)OC[C@@H]1[C@H]([C@@H]([C@H]([C@H](O1)O[C@]2([C@H]([C@@H]([C@H](O2)CO)O)O)CO)O)O)O</t>
  </si>
  <si>
    <t>Sucrose distearate</t>
  </si>
  <si>
    <t>CCCCCCCCCCCCCCCCCC(=O)O[C@@H]1[C@H]([C@@H]([C@H](O[C@]1([C@@]2([C@H]([C@@H]([C@H](O2)CO)O)O)CO)OC(=O)CCCCCCCCCCCCCCCCC)CO)O)O</t>
  </si>
  <si>
    <t>Disodium stearoyl glutamate</t>
  </si>
  <si>
    <t>CCCCCCCCCCCCCCCCCC(=O)N[C@@H](CCC(=O)[O-])C(=O)[O-]</t>
  </si>
  <si>
    <t>Sorbitan monooleate (Span 80)</t>
  </si>
  <si>
    <t>CCCCCCCC/C=C\CCCCCCCC(=O)OC[C@H]([C@@H]1[C@@H]([C@H](CO1)O)O)O</t>
  </si>
  <si>
    <t>Acosta E., Sundar S. How to formulate biobased surfactants through the HLD-NAC model //Biobased surfactants. – AOCS Press, 2019. – С. 471-510.</t>
  </si>
  <si>
    <t>iNPhE5</t>
  </si>
  <si>
    <t>iNPhE13</t>
  </si>
  <si>
    <t>iNPhE10</t>
  </si>
  <si>
    <t>iNPhE17</t>
  </si>
  <si>
    <t>C10PO4SO4Na</t>
  </si>
  <si>
    <t>Choi F., Acosta E. J. Oil-induced formation of branched wormlike micelles in an alcohol propoxysulfate extended surfactant system //Soft Matter. – 2018. – Т. 14. – №. 41. – С. 8378-8389.</t>
  </si>
  <si>
    <t xml:space="preserve">Br-Oxo 123 </t>
  </si>
  <si>
    <t>TDA</t>
  </si>
  <si>
    <t>CCC(C)CC(C)CCCCC(OC(C)COC(C)COC(C)COC(C)COS(=O)(=O)[O-])C</t>
  </si>
  <si>
    <t>CCCCCCCCCCCCOC(C)COC(C)COC(C)COC(C)COS(=O)(=O)[O-]</t>
  </si>
  <si>
    <t>Ziegler L12</t>
  </si>
  <si>
    <t>CCCCCCCCCCCC(OC(C)COC(C)COC(C)COC(C)COS(=O)(=O)[O-])C</t>
  </si>
  <si>
    <t>CCCCCCCCCCCCCOC(C)COC(C)COC(C)COC(C)COS(=O)(=O)[O-]</t>
  </si>
  <si>
    <t>L-Oxo-123</t>
  </si>
  <si>
    <t>Hammond C. E., Acosta E. J. On the characteristic curvature of alkyl-polypropylene oxide sulfate extended surfactants //Journal of Surfactants and Detergents. – 2012. – Т. 15. – №. 2. – С. 157-165.</t>
  </si>
  <si>
    <t>Dodecanol</t>
  </si>
  <si>
    <t>CCCCCCCCCCCCO</t>
  </si>
  <si>
    <t>SMNDS</t>
  </si>
  <si>
    <t>CC1=C(C2=CC=CC=C2C=C1)S(=O)(=O)[O-]</t>
  </si>
  <si>
    <t>Sodium naphtenate</t>
  </si>
  <si>
    <t>CCCCCCCCCCCC(=O)[O-]</t>
  </si>
  <si>
    <t>SDBS</t>
  </si>
  <si>
    <t>CCCCCCCCCCCCC1=CC=C(C=C1)S(=O)(=O)[O-]</t>
  </si>
  <si>
    <t>SDS</t>
  </si>
  <si>
    <t>CCCCCCCCCCCCOS(=O)(=O)[O-]</t>
  </si>
  <si>
    <t>NPE-9</t>
  </si>
  <si>
    <t>CCCCCCC(C)Cc1ccc(OCCOCCOCCOCCOCCO)cc1</t>
  </si>
  <si>
    <t>CCCCCCC(C)Cc1ccc(OCCOCCOCCOCCOCCOCCOCCOCCOCCOCCO)cc1</t>
  </si>
  <si>
    <t>CCCCCCC(C)Cc1ccc(OCCOCCOCCOCCOCCOCCOCCOCCOCCOCCOCCOCCOCCO)cc1</t>
  </si>
  <si>
    <t>CCCCCCC(C)CCc1ccc(OCCOCCOCCOCCOCCOCCOCCOCCOCCOCCOCCOCCOCCOCCOCCOCCOCCO)cc1</t>
  </si>
  <si>
    <t>NPE-2</t>
  </si>
  <si>
    <t>CCCCCCCCCCc1ccc(OCCOCCO)cc1</t>
  </si>
  <si>
    <t>NPE-5</t>
  </si>
  <si>
    <t>CCCCCCCCCCc1ccc(OCCOCCOCCOCCOCCO)cc1</t>
  </si>
  <si>
    <t>CCCCCCCCCCc1ccc(OCCOCCOCCOCCOCCOCCOCCOCCOCCO)cc1</t>
  </si>
  <si>
    <t>SDOS</t>
  </si>
  <si>
    <t>CCCCC(CC)CC(CC(CC)CCCC)(C(C(=O)[O-])S(=O)(=O)O)C(=O)[O-]</t>
  </si>
  <si>
    <t>Acosta E. J., Bhakta A. S. The HLD-NAC model for mixtures of ionic and nonionic surfactants //Journal of surfactants and detergents. – 2009. – Т. 12. – С. 7-19.</t>
  </si>
  <si>
    <t>Alkoxylated amines</t>
  </si>
  <si>
    <t>CCCCCCCCCCCCCCCCN(CCOCCOCCOCCOCCOCCOCCOCCOCCO)CCOCCOCCOCCOCCOCCOCCOCCOCCO</t>
  </si>
  <si>
    <t>Alkoxylated phosphate esters</t>
  </si>
  <si>
    <t>CCCCC(C)C(CC)c1ccc(OCCOCCOCCOCCOCCOCCOCCOCCOCCOP(=O)(O)O)cc1</t>
  </si>
  <si>
    <t>Aromatic amines</t>
  </si>
  <si>
    <t>CCCc1ccnc(CCC)c1</t>
  </si>
  <si>
    <t>Quaternary amines</t>
  </si>
  <si>
    <t>CCCCCCCCCCCCCC[N+](C)(C)c1ccccc1</t>
  </si>
  <si>
    <t>Imidazoline acetates (2:1)</t>
  </si>
  <si>
    <t>Imidazoline acetates (1:1)</t>
  </si>
  <si>
    <t>CCCCCCCCCCCCCCCCCCCCc1nccn1(CCN)</t>
  </si>
  <si>
    <t>CCCCCCCCCCCCCCCCCCCCc1nccn1(CCNC(=O)CCCCCCCCCCCCCCCCCCCC)</t>
  </si>
  <si>
    <t>Kiran S. K. et al. The HLD study of surfactant partitioning for oilfield corrosion inhibitors //Journal of Surfactants and Detergents. – 2014. – Т. 17. – С. 1193-1201.</t>
  </si>
  <si>
    <t>CCCCCCC(C)CCCCCOCCOCCOCCOCCO</t>
  </si>
  <si>
    <t>Ft-OXO, EO~47</t>
  </si>
  <si>
    <t>Ft-OXO, EO~52</t>
  </si>
  <si>
    <t>CCCCCCC(C)CCCCCOCCOCCOCCOCCOCCO</t>
  </si>
  <si>
    <t>CC(C)CCCC(C)CCC(C)COCCOCCOCCOCCOCCO</t>
  </si>
  <si>
    <t>TDA, ~52</t>
  </si>
  <si>
    <t>TDA, ~40</t>
  </si>
  <si>
    <t>CC(C)CCCC(C)CCC(C)COCCOCCOCCO</t>
  </si>
  <si>
    <t>CCCCCCC(C)CCCCCOCCOCCOCCOCCOCCOCCOCCO</t>
  </si>
  <si>
    <t>TDA, ~57</t>
  </si>
  <si>
    <t>CC(C)CCCC(C)CCC(C)COCCOCCOCCOCCOCCOCCO</t>
  </si>
  <si>
    <t>TDA, ~64</t>
  </si>
  <si>
    <t>CC(C)CCCC(C)CCC(C)COCCOCCOCCOCCOCCOCCOCCOCCO</t>
  </si>
  <si>
    <t>CCCCCCC(C)CCCCCOC(C)COC(C)COC(C)COC(C)COC(C)COC(C)COC(C)COS(=O)[O-]</t>
  </si>
  <si>
    <t>Ft-OXo123, 50%PO, 0%EO sulfate</t>
  </si>
  <si>
    <t>Ft-OXo123, 47%PO, 14%EO sulfate</t>
  </si>
  <si>
    <t>Ft-OXo123, 51%PO, 5%EO sulfate</t>
  </si>
  <si>
    <t>Ziergler C12, 43%PO, 16%EO</t>
  </si>
  <si>
    <t>CCCCCCCCCCCCOCCOCCOCCOC(C)COC(C)COC(C)COC(C)COC(C)COC(C)COC(C)COS(=O)[O-]</t>
  </si>
  <si>
    <t>CCCCCCC(C)CCCCCOCCOCCOCCOC(C)COC(C)COC(C)COC(C)COC(C)COC(C)COC(C)COC(C)COS(=O)[O-]</t>
  </si>
  <si>
    <t>Br-Oxo, 44%PO, 15%EO</t>
  </si>
  <si>
    <t>CCCCCCCCCCCC(OCCOCCOCCOC(C)COC(C)COC(C)COC(C)COC(C)COC(C)COC(C)COC(C)COS(=O)(=O)[O-])C</t>
  </si>
  <si>
    <t>CCCCCCC(C)CCCCCOCCOC(C)COC(C)COC(C)COC(C)COC(C)COC(C)COC(C)COC(C)COS(=O)[O-]</t>
  </si>
  <si>
    <t>Ft-OXO123, 60%PO, 10%EO</t>
  </si>
  <si>
    <t>CCCCCCC(C)CCCCCOCCOCCOCCOC(C)COC(C)COC(C)COC(C)COC(C)COC(C)COC(C)COC(C)COC(C)COC(C)COC(C)COC(C)COC(C)COS(=O)[O-]</t>
  </si>
  <si>
    <t>Ft-OXO123, 66%PO, 8%EO</t>
  </si>
  <si>
    <t>CCCCCCC(C)CCCCCOCCOCCOCCOC(C)COC(C)COC(C)COC(C)COC(C)COC(C)COC(C)COC(C)COC(C)COC(C)COC(C)COC(C)COC(C)COC(C)COC(C)COC(C)COC(C)COS(=O)[O-]</t>
  </si>
  <si>
    <t>Ziegler C8, 70%EO, ECA</t>
  </si>
  <si>
    <t>CCCCCCCCOCCOCCOCCOCCOCCOCCOCCOCCOCCOC(=O)[O-]</t>
  </si>
  <si>
    <t>ZieglerC8, 51% EO</t>
  </si>
  <si>
    <t>CCCCCCCCOCCOCCOCCOCCOC(=O)[O-]</t>
  </si>
  <si>
    <t>TDA, 61%EO</t>
  </si>
  <si>
    <t>CC(C)CCCC(C)CCC(C)COCCOCCOCCOCCOCCOCCOCCOCCOCCOC(=O)[O-]</t>
  </si>
  <si>
    <t>TDA, 25%PO, 45%EO</t>
  </si>
  <si>
    <t>CC(C)CCCC(C)CCC(C)COCCOCCOCCOCCOCCOCCOCCOC(C)COC(C)COC(C)COC(C)COC(=O)[O-]</t>
  </si>
  <si>
    <t>Ziegler C12, C14, 50%EO</t>
  </si>
  <si>
    <t>CCCCCCCCCCCCCOCCOCCOCCOCCOCCOCCOC(=O)[O-]</t>
  </si>
  <si>
    <t>Ziegler C12, C14, 40%EO</t>
  </si>
  <si>
    <t>CCCCCCCCCCCCCOCCOCCOCCOCCOC(=O)[O-]</t>
  </si>
  <si>
    <t>Guerbet C12, 54%EO</t>
  </si>
  <si>
    <t>CCCCC(CCCCCC)COCCOCCOCCOCCOCCOCCOC(=O)[O-]</t>
  </si>
  <si>
    <t>Guerbet C12, 34%PO, 5%13</t>
  </si>
  <si>
    <t>CCCCC(CCCCCC)COCCOC(C)COC(C)COC(C)COC(=O)[O-]</t>
  </si>
  <si>
    <t>Ziegler C16, C18, 35%PO, 30%EO</t>
  </si>
  <si>
    <t>CCCCCCCCCCCCCCCCCOCCOCCOCCOCCOCCOCCOC(C)COC(C)COC(C)COC(C)COC(C)COC(=O)[O-]</t>
  </si>
  <si>
    <t>Ziegler C16, C18, 43%PO, 15%EO</t>
  </si>
  <si>
    <t>CCCCCCCCCCCCCCCCCOCCOCCOCCOC(C)COC(C)COC(C)COC(C)COC(C)COC(C)COC(=O)[O-]</t>
  </si>
  <si>
    <t>Nguyen T. T. et al. Application of the hydrophilic–lipophilic deviation concept to surfactant characterization and surfactant selection for enhanced oil recovery //Journal of Surfactants and Detergents. – 2019. – Т. 22. – №. 5. – С. 983-999.</t>
  </si>
  <si>
    <t>С16-di(diphenyloxide) disulfonate</t>
  </si>
  <si>
    <t>CCCCCCCCCCCCCCCCc1cc(S(=O)(=O)[O-])cc(Oc2cc(S(=O)(=O)[O-])ccc2)c1</t>
  </si>
  <si>
    <t>CCCCCCCCCCOC(C)COC(C)COC(C)COC(C)COC(C)COS(=O)(=O)[O-]</t>
  </si>
  <si>
    <t>Benzethonium chloride</t>
  </si>
  <si>
    <t>CC(C)(C)CC(C)(C)C1=CC=C(C=C1)OCCOCC[N+](C)(C)CC2=CC=CC=C2</t>
  </si>
  <si>
    <t>CCCCCCCCCCC[N+]1=CC=CC=C1</t>
  </si>
  <si>
    <t>1-dodecyl pyridinium chloride</t>
  </si>
  <si>
    <t>Leng Z., Acosta E. The characteristic curvature (Cc) definition and its use in assessing Cc for single ionic surfactants //Journal of Surfactants and Detergents. – 2023. – Т. 26. – №. 3. – С. 287-301.</t>
  </si>
  <si>
    <t>C12-12PO-2EO</t>
  </si>
  <si>
    <t>CCCCCCCCCCCCOC(C)COC(C)COC(C)COC(C)COC(C)COC(C)COC(C)COC(C)COC(C)COC(C)COC(C)COC(C)COCCOCCO</t>
  </si>
  <si>
    <t>Do L. D. et al. Environmentally friendly vegetable oil microemulsions using extended surfactants and linkers //Journal of Surfactants and Detergents. – 2009. – Т. 12. – С. 91-99.</t>
  </si>
  <si>
    <t>Do L. D. et al. Detergency of vegetable oils and semi-solid fats using microemulsion mixtures of anionic extended surfactants: the HLD concept and cold water applications //Journal of Surfactants and Detergents. – 2015. – Т. 18. – С. 373-382.</t>
  </si>
  <si>
    <t>C1018PO2EOSO4</t>
  </si>
  <si>
    <t>CCCCCCCCCCOC(C)COC(C)COC(C)COC(C)COC(C)COC(C)COC(C)COC(C)COC(C)COC(C)COC(C)COC(C)COC(C)COC(C)COC(C)COC(C)COC(C)COC(C)COCCOCCOS(=O)(=O)[O-]</t>
  </si>
  <si>
    <t>C13E1</t>
  </si>
  <si>
    <t>C13E5</t>
  </si>
  <si>
    <t>C13E9</t>
  </si>
  <si>
    <t>CCCCCCCCCCCCCOCCO</t>
  </si>
  <si>
    <t>CCCCCCCCCCCCCOCCOOCCOOCCOOCCOOCCO</t>
  </si>
  <si>
    <t>CCCCCCCCCCCCCOCCOOCCOOCCOOCCOOCCOOCCOOCCOOCCOOCCO</t>
  </si>
  <si>
    <t>Kittithammavong V., Charoensaeng A., Khaodhiar S. Effect of ethylene oxide group in the anionic–nonionic mixed surfactant system on microemulsion phase behavior //Journal of Surfactants and Detergents. – 2021. – Т. 24. – №. 4. – С. 631-648.</t>
  </si>
  <si>
    <t>Phaodee P., Harwell J. H., Sabatini D. A. Correlation between detergency of different oily and solid non‐particulate soils and hydrophilic–lipophilic deviation //Journal of Surfactants and Detergents. – 2020. – Т. 23. – №. 5. – С. 953-962.</t>
  </si>
  <si>
    <t>C15E7</t>
  </si>
  <si>
    <t>CCCCCCCCCCCCCCCOCCOCCOCCOCCOCCOCCOCCO</t>
  </si>
  <si>
    <t>Optatzi J. P. et al. Addressing the non‐ideality of an application relevant surfactant mixture within the hydrophilic–lipophilic‐deviation concept //Journal of Surfactants and Detergents. – 2024.</t>
  </si>
  <si>
    <t>C12SO4Na</t>
  </si>
  <si>
    <t>CCCCCCCCCCCCOS([O-])(=O)=O</t>
  </si>
  <si>
    <t>C13E2SO4Na</t>
  </si>
  <si>
    <t>CCCCCCCCCCCCCOCCOCCOS([O-])(=O)=O</t>
  </si>
  <si>
    <t>C12PO8SO4Na</t>
  </si>
  <si>
    <t>CCCCCCCCCCCCOC(C)COC(C)COC(C)COC(C)COC(C)COC(C)COC(C)COC(C)COS([O-])(=O)=O</t>
  </si>
  <si>
    <t>twin tail C6 sulfossucinate</t>
  </si>
  <si>
    <t>O=S(=O)([O-])C(CC(=O)OCC(CC)CC)C(=O)OCC(CC)CC</t>
  </si>
  <si>
    <t>Witthayapanyanon A., Harwell J. H., Sabatini D. A. Hydrophilic–lipophilic deviation (HLD) method for characterizing conventional and extended surfactants //Journal of colloid and interface science. – 2008. – Т. 325. – №. 1. – С. 259-266.</t>
  </si>
  <si>
    <t>KELA 3</t>
  </si>
  <si>
    <t>KELA 10</t>
  </si>
  <si>
    <t>OCCOCCOCCOCCCCCCCCCCCC</t>
  </si>
  <si>
    <t>OCCOCCOCCOCCOCCOCCOCCOCCOCCOCCOCCCCCCCCCCCC</t>
  </si>
  <si>
    <t>Mirzadeh M., Javadi Z., Eslami F. Water-in-Oil demulsification with the HLD and HLD-NAC approach and salt effect //Fuel. – 2025. – Т. 385. – С. 134170.</t>
  </si>
  <si>
    <t>C8-(PO)4-(EO1)-SO4Na</t>
  </si>
  <si>
    <t>CCCCCCCCOC(C)COC(C)COC(C)COC(C)COCCOS(=O)(=O)[O-]</t>
  </si>
  <si>
    <t>C8-(PO)4-SO4Na</t>
  </si>
  <si>
    <t>CCCCCCCCOC(C)COC(C)COC(C)COC(C)COS(=O)(=O)[O-]</t>
  </si>
  <si>
    <t>C10-(PO)4-(EO1)-SO4Na</t>
  </si>
  <si>
    <t>CCCCCCCCCCOC(C)COC(C)COC(C)COC(C)COCCOS(=O)(=O)[O-]</t>
  </si>
  <si>
    <t>C10-(PO)4-SO4Na</t>
  </si>
  <si>
    <t>C12-(EO3)-SO4Na</t>
  </si>
  <si>
    <t>CCCCCCCCCCCCOCCOCCOCCOS(=O)(=O)[O-]</t>
  </si>
  <si>
    <t>Jin L. et al. Predicting microemulsion phase behavior using physics based HLD-NAC equation of state for surfactant flooding //Journal of Petroleum Science and Engineering. – 2017. – Т. 151. – С. 213-223.</t>
  </si>
  <si>
    <t>C9PhE6</t>
  </si>
  <si>
    <t>CCCCCCCC(C)c1ccc(OCCOCCOCCOCCOCCOCCO)cc1</t>
  </si>
  <si>
    <t>CCCCCCCCCc1ccc(OCCOCCOCCOCCOCCO)cc1</t>
  </si>
  <si>
    <t>C9PhE8</t>
  </si>
  <si>
    <t>CCCCCCCC(C)c1ccc(OCCOCCOCCOCCOCCOCCOCCOCCO)cc1</t>
  </si>
  <si>
    <t>C9PhE11</t>
  </si>
  <si>
    <t>CCCCCCCC(C)c1ccc(OCCOCCOCCOCCOCCOCCOCCOCCOCCOCCOCCO)cc1</t>
  </si>
  <si>
    <t>C9PhE30</t>
  </si>
  <si>
    <t>CCCCCCCC(C)c1ccc(OCCOCCOCCOCCOCCOCCOCCOCCOCCOCCOCCOCCOCCOCCOCCOCCOCCOCCOCCOCCOCCOCCOCCOCCOCCOCCOCCOCCOCCOCCO)cc1</t>
  </si>
  <si>
    <t>Delgado-Linares J. G. et al. Breaking of water-in-crude oil emulsions. 6. Estimating the demulsifier performance at optimum formulation from both the required dose and the attained instability //Energy &amp; Fuels. – 2016. – Т. 30. – №. 7. – С. 5483-5491.</t>
  </si>
  <si>
    <t>KELA 6</t>
  </si>
  <si>
    <t>PEG-7 cocoate</t>
  </si>
  <si>
    <t>CCCCCCCCCCCCC(=O)OCCOCCOCCOCCOCCOCCOCCO</t>
  </si>
  <si>
    <t>Ghasemi H., Eslami F. Design of industrial wastewater demulsifier by HLD-NAC model //Scientific Reports. – 2021. – Т. 11. – №. 1. – С. 16111.</t>
  </si>
  <si>
    <t>Polyglycerol 10 ceprylate</t>
  </si>
  <si>
    <t>OC(O)COC(O)COC(O)COC(O)COC(O)COC(O)COC(O)COC(O)COC(O)COC(O)COC(O)COC(=O)CCCCCCCCC</t>
  </si>
  <si>
    <t>Sundar S. et al. Hydrophilic-lipophilic-difference (HLD) guided formulation of oil spill dispersants with biobased surfactants //Tenside Surfactants Detergents. – 2019. – Т. 56. – №. 5. – С. 417-428.</t>
  </si>
  <si>
    <t>CCCCCCCCCCCCCC(=O)[O-]</t>
  </si>
  <si>
    <t>C12 alkylcarboxylate</t>
  </si>
  <si>
    <t>CCCCCCCCCC(=O)[O-]</t>
  </si>
  <si>
    <t>C10 alkylcarboxylate</t>
  </si>
  <si>
    <t>C14 alkylcarboxylate</t>
  </si>
  <si>
    <t>C14 alkylsulfate</t>
  </si>
  <si>
    <t>C12 alkylsulfate</t>
  </si>
  <si>
    <t>C10 alkylsulfate</t>
  </si>
  <si>
    <t>CCCCCCCCCCCCCCOS(=O)(=O)[O-]</t>
  </si>
  <si>
    <t>CCCCCCCCCCOS(=O)(=O)[O-]</t>
  </si>
  <si>
    <t>C10 isoalkylbenzene sulfonae</t>
  </si>
  <si>
    <t>C14 isoalkylbenzene sulfonae</t>
  </si>
  <si>
    <t>C12 isoalkylbenzene sulfonae</t>
  </si>
  <si>
    <t>CCCCCCCCCCCCC(C)c1ccc(S(=O)(=O)[O-])cc1</t>
  </si>
  <si>
    <t>CCCCCCCCCCC(C)c1ccc(S(=O)(=O)[O-])cc1</t>
  </si>
  <si>
    <t>CCCCCCCCC(C)c1ccc(S(=O)(=O)[O-])cc1</t>
  </si>
  <si>
    <t>CCCCCCCCCCCCCC[N+](C)(C)C</t>
  </si>
  <si>
    <t>C14 n-alkyl trimethyl ammonium</t>
  </si>
  <si>
    <t>C12 n-alkyl trimethyl ammonium</t>
  </si>
  <si>
    <t>C10 n-alkyl trimethyl ammonium</t>
  </si>
  <si>
    <t>CCCCCCCCCCCC[N+](C)(C)C</t>
  </si>
  <si>
    <t>CCCCCCCCCC[N+](C)(C)C</t>
  </si>
  <si>
    <t>C14 alkylpyrdinium</t>
  </si>
  <si>
    <t>C12 alkylpyrdinium</t>
  </si>
  <si>
    <t>C10 alkylpyrdinium</t>
  </si>
  <si>
    <t>c1ccnc(CCCCCCCCCCCCCC)c1</t>
  </si>
  <si>
    <t>c1ccnc(CCCCCCCCCCCC)c1</t>
  </si>
  <si>
    <t>c1ccnc(CCCCCCCCCC)c1</t>
  </si>
  <si>
    <t>Salager J. L. et al. A review on the surfactant characteristic parameter used in enhanced oil recovery, crude oil dehydration and other formulation applications //FIRP Booklet E729B. – 2014.</t>
  </si>
  <si>
    <t>C12 LAS</t>
  </si>
  <si>
    <t>CCCCCCCCCCCCc1ccc(S(=O)(=O)[O-])cc1</t>
  </si>
  <si>
    <t>C12 AOXS (orthoxylene sulfonate)</t>
  </si>
  <si>
    <t>CCCCCCCCCCCCc1c(C)cc(C)c(S(=O)(=O)[O-])c1</t>
  </si>
  <si>
    <t>isoC9PhEO6</t>
  </si>
  <si>
    <t>CCCCCCC(C)Cc1ccc(OCCOCCOCCOCCOCCOCCO)cc1</t>
  </si>
  <si>
    <t>isoC12PhEO6</t>
  </si>
  <si>
    <t>CCCCCCCCCC(C)Cc1ccc(OCCOCCOCCOCCOCCOCCO)cc1</t>
  </si>
  <si>
    <t>isoC12PhEO5</t>
  </si>
  <si>
    <t>CCCCCCCCCC(C)Cc1ccc(OCCOCCOCCOCCOCCO)cc1</t>
  </si>
  <si>
    <t>tC8PhEO5.3</t>
  </si>
  <si>
    <t>CCCCCC(C)(C)c1ccc(OCCOCCOCCOCCOCCO)cc1</t>
  </si>
  <si>
    <t>Salager J. L., Forgiarini A. M., Bullón J. How to attain ultralow interfacial tension and three-phase behavior with surfactant formulation for enhanced oil recovery: a review. Part 1. Optimum formulation for simple surfactant–oil–water ternary systems //Journal of Surfactants and Detergents. – 2013. – Т. 16. – С. 449-472.</t>
  </si>
  <si>
    <t>C8PO4EO1SO4Na</t>
  </si>
  <si>
    <t>C8PO4SO4Na</t>
  </si>
  <si>
    <t>C10PO4EO1So4Na</t>
  </si>
  <si>
    <t>C12EO3SO4Na</t>
  </si>
  <si>
    <t>iC9 benzene sulfonate</t>
  </si>
  <si>
    <t>CCCCCCC(C)Cc1ccc(S(=O)(=O)[O-])cc1</t>
  </si>
  <si>
    <t>iC12 benzene sulfonate</t>
  </si>
  <si>
    <t>CCCCCCCCCC(C)Cc1ccc(S(=O)(=O)[O-])cc1</t>
  </si>
  <si>
    <t>i-C12 o-xylene sulfonate</t>
  </si>
  <si>
    <t>CCCCCCCCCC(C)Cc1cc(C)c(S(=O)(=O)[O-])cc(C)1</t>
  </si>
  <si>
    <t>CCCCCCCCCC(C)Cc1ccc(S(=O)(=O)[O-])c(C)c(C)1</t>
  </si>
  <si>
    <t>i-C12 p-xylene sulfonate</t>
  </si>
  <si>
    <t>C12-ammonium</t>
  </si>
  <si>
    <t>CCCCCCCCCCCC[N+]</t>
  </si>
  <si>
    <t>C12-trimethylammonium</t>
  </si>
  <si>
    <t>C16-trimethylammonium</t>
  </si>
  <si>
    <t>iC8PhE3</t>
  </si>
  <si>
    <t>iC8PhE6</t>
  </si>
  <si>
    <t>CCCCCC(C)Cc1ccc(OCCOCCOCCO)cc1</t>
  </si>
  <si>
    <t>CCCCCC(C)Cc1ccc(OCCOCCOCCOCCOCCOCCO)cc1</t>
  </si>
  <si>
    <t>iC8PhE9</t>
  </si>
  <si>
    <t>CCCCCC(C)Cc1ccc(OCCOCCOCCOCCOCCOCCOCCOCCOCCO)cc1</t>
  </si>
  <si>
    <t>iC12PhE3</t>
  </si>
  <si>
    <t>iC12PhE6</t>
  </si>
  <si>
    <t>iC12PhE9</t>
  </si>
  <si>
    <t>CCCCCCCCCC(C)Cc1ccc(OCCOCCOCCOCCOCCOCCOCCOCCOCCO)cc1</t>
  </si>
  <si>
    <t>CCCCCCCCCC(C)Cc1ccc(OCCOCCOCCO)cc1</t>
  </si>
  <si>
    <t>iC18PhE3</t>
  </si>
  <si>
    <t>iC18PhE6</t>
  </si>
  <si>
    <t>iC18PhE9</t>
  </si>
  <si>
    <t>CCCCCCCCCCCCCCCC(C)Cc1ccc(OCCOCCOCCO)cc1</t>
  </si>
  <si>
    <t>CCCCCCCCCCCCCCCC(C)Cc1ccc(OCCOCCOCCOCCOCCOCCO)cc1</t>
  </si>
  <si>
    <t>CCCCCCCCCCCCCCCC(C)Cc1ccc(OCCOCCOCCOCCOCCOCCOCCOCCOCCO)cc1</t>
  </si>
  <si>
    <t>iC18PhE12</t>
  </si>
  <si>
    <t>CCCCCCCCCCCCCCCC(C)Cc1ccc(OCCOCCOCCOCCOCCOCCOCCOCCOCCOCCOCCOCCO)cc1</t>
  </si>
  <si>
    <t>С10E4</t>
  </si>
  <si>
    <t>С10E7</t>
  </si>
  <si>
    <t>C10E10</t>
  </si>
  <si>
    <t>CCCCCCCCCCOCCOCCOCCOCCOCCOCCOCCO</t>
  </si>
  <si>
    <t>CCCCCCCCCCOCCOCCOCCOCCOCCOCCOCCOCCOCCOCCO</t>
  </si>
  <si>
    <t>С12E4</t>
  </si>
  <si>
    <t>С12E7</t>
  </si>
  <si>
    <t>C12E10</t>
  </si>
  <si>
    <t>CCCCCCCCCCCCOCCOCCOCCOCCOCCOCCOCCOCCOCCOCCO</t>
  </si>
  <si>
    <t>iC13E4</t>
  </si>
  <si>
    <t>iC13E7</t>
  </si>
  <si>
    <t>iC13E10</t>
  </si>
  <si>
    <t>CCC(CCCC)CCC(C)CCOCCOCCOCCOCCO</t>
  </si>
  <si>
    <t>CCC(CCCC)CCC(C)CCOCCOCCOCCOCCOCCOCCOCCO</t>
  </si>
  <si>
    <t>CCC(CCCC)CCC(C)CCOCCOCCOCCOCCOCCOCCOCCOCCOCCOCCO</t>
  </si>
  <si>
    <t>Salager J. L. et al. Formulation des microémulsions par la méthode du HLD. – Editions TI, 2001. – С. 1-20.</t>
  </si>
  <si>
    <t>Sodium cocoyl sarcosinate</t>
  </si>
  <si>
    <t>CCCCCCCCCCCCCC(=O)N(C)CC(=O)[O-]</t>
  </si>
  <si>
    <t>C16 alkylcarboxylate</t>
  </si>
  <si>
    <t>CCCCCCCCCCCCCCCC(=O)[O-]</t>
  </si>
  <si>
    <t>C18 alkylcarboxylate</t>
  </si>
  <si>
    <t>Sodium stearoyl glutamate</t>
  </si>
  <si>
    <t>CCCCCCCCCCCCCCCCCC(=O)N[C@@H](CCC(=O)[O-])C(=O)O</t>
  </si>
  <si>
    <t>Sodium 2,8-naphtalene sulfonate</t>
  </si>
  <si>
    <t>CC1=C2C(=CC=C1)C=CC(=C2S(=O)(=O)[O-])C</t>
  </si>
  <si>
    <t>С12 sodium sulfonate</t>
  </si>
  <si>
    <t>CCCCCCCCCCCCS(=O)(=O)[O-]</t>
  </si>
  <si>
    <t>iC12PhE5</t>
  </si>
  <si>
    <t>С12E5</t>
  </si>
  <si>
    <t>iC9PhE5</t>
  </si>
  <si>
    <t>CCCCCCC(C)Cc1ccc(OCCOCCOCCO)cc1</t>
  </si>
  <si>
    <t>Antón R. E. et al. Practical surfactant mixing rules based on the attainment of microemulsion–oil–water three-phase behavior systems //Interfacial processes and molecular aggregation of surfactants. – 2008. – С. 83-113.</t>
  </si>
  <si>
    <t>Stephen Abbot - Sppeding up the transition to greener surfactants</t>
  </si>
  <si>
    <t>C9 benzene sulfonate</t>
  </si>
  <si>
    <t>CCCCCCCCCc1ccc(S(=O)(=O)[O-])cc1</t>
  </si>
  <si>
    <t>C11 benzene sulfonate</t>
  </si>
  <si>
    <t>CCCCCCCCCCCc1ccc(S(=O)(=O)[O-])cc1</t>
  </si>
  <si>
    <t>C12 benzene sulfonate</t>
  </si>
  <si>
    <t>CCCCCCCCCCCCCCCc1ccc(S(=O)(=O)[O-])cc1</t>
  </si>
  <si>
    <t>C14 benzene sulfonate</t>
  </si>
  <si>
    <t>CCCCCCCCCCCCCCc1ccc(S(=O)(=O)[O-])cc1</t>
  </si>
  <si>
    <t>C15 benzene sulfonate</t>
  </si>
  <si>
    <t>C14 Alkyl ester sulfate</t>
  </si>
  <si>
    <t>C12 Alkyl ester sulfate</t>
  </si>
  <si>
    <t>C10 Alkyl ester sulfate</t>
  </si>
  <si>
    <t>Myristic acid sodium salt</t>
  </si>
  <si>
    <t>C14 Alkyl sulfonate</t>
  </si>
  <si>
    <t>CCCCCCCCCCCCCCS(=O)(=O)[O-]</t>
  </si>
  <si>
    <t>C8-ammonium</t>
  </si>
  <si>
    <t>CCCCCCCC[N+]</t>
  </si>
  <si>
    <t>C10-ammonium</t>
  </si>
  <si>
    <t>CCCCCCCCCC[N+]</t>
  </si>
  <si>
    <t>C14-ammonium</t>
  </si>
  <si>
    <t>C16-ammonium</t>
  </si>
  <si>
    <t>DinoramS</t>
  </si>
  <si>
    <t>CCCCCCCCCCCCCC[N+]</t>
  </si>
  <si>
    <t>CCCCCCCCCCCCCCCC[N+]</t>
  </si>
  <si>
    <t>CCCCCCCCCCCCCCCCCCNCCC[N+]</t>
  </si>
  <si>
    <t>C14-trimethylammonium</t>
  </si>
  <si>
    <t>C18-trimethylammonium</t>
  </si>
  <si>
    <t xml:space="preserve">CCCCCCCCCCCCCCCCCC[N+](C)(C)(C) </t>
  </si>
  <si>
    <t>C16-n-pyridinium</t>
  </si>
  <si>
    <t>CCCCCCCCCCCCCCCC[N+]1=CC=CC=C1</t>
  </si>
  <si>
    <t>Antón R. E., Garcés N., Yajure A. A correlation for three-phase behavior of cationic surfactant-oil-water systems //Journal of dispersion science and technology. – 1997. – Т. 18. – №. 5. – С. 539-555.</t>
  </si>
  <si>
    <t>SMILES</t>
  </si>
  <si>
    <t xml:space="preserve">Cc </t>
  </si>
  <si>
    <t>Is_extended</t>
  </si>
  <si>
    <t>Is_anionic</t>
  </si>
  <si>
    <t>Is_cationic</t>
  </si>
  <si>
    <t>Is_non_ionic</t>
  </si>
  <si>
    <t>CCCCCCCCCCCCCCCCCC(=O)[O-]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</si>
</sst>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.6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1" xfId="0" applyFont="1" applyBorder="1" applyAlignment="1">
      <alignment horizontal="left" vertical="center" indent="1"/>
    </xf>
    <xf numFmtId="2" fontId="0" fillId="0" borderId="0" xfId="0" applyNumberFormat="1"/>
    <xf numFmtId="0" fontId="1" fillId="0" borderId="0" xfId="0" applyFont="1" applyFill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6"/>
  <sheetViews>
    <sheetView tabSelected="1" workbookViewId="0">
      <pane xSplit="2" ySplit="2" topLeftCell="H74" activePane="bottomRight" state="frozen"/>
      <selection pane="topRight" activeCell="C1" sqref="C1"/>
      <selection pane="bottomLeft" activeCell="A3" sqref="A3"/>
      <selection pane="bottomRight" activeCell="J98" sqref="J98:J103"/>
    </sheetView>
  </sheetViews>
  <sheetFormatPr defaultRowHeight="15" x14ac:dyDescent="0.25"/>
  <cols>
    <col min="1" max="1" width="33.140625" customWidth="1"/>
    <col min="2" max="2" width="150" bestFit="1" customWidth="1"/>
    <col min="6" max="6" width="13.28515625" customWidth="1"/>
    <col min="7" max="7" width="11.7109375" customWidth="1"/>
    <col min="8" max="9" width="12.28515625" customWidth="1"/>
    <col min="10" max="10" width="47.7109375" customWidth="1"/>
  </cols>
  <sheetData>
    <row r="1" spans="1:10" x14ac:dyDescent="0.25">
      <c r="A1" t="s">
        <v>0</v>
      </c>
      <c r="B1" t="s">
        <v>443</v>
      </c>
      <c r="C1" t="s">
        <v>444</v>
      </c>
      <c r="D1" t="s">
        <v>2</v>
      </c>
      <c r="E1" t="s">
        <v>3</v>
      </c>
      <c r="F1" t="s">
        <v>446</v>
      </c>
      <c r="G1" t="s">
        <v>447</v>
      </c>
      <c r="H1" t="s">
        <v>448</v>
      </c>
      <c r="I1" t="s">
        <v>445</v>
      </c>
      <c r="J1" t="s">
        <v>1</v>
      </c>
    </row>
    <row r="2" spans="1:10" x14ac:dyDescent="0.25">
      <c r="A2" t="s">
        <v>4</v>
      </c>
      <c r="B2" t="s">
        <v>5</v>
      </c>
      <c r="C2">
        <v>-2.61</v>
      </c>
      <c r="F2">
        <v>1</v>
      </c>
      <c r="J2" s="7" t="s">
        <v>16</v>
      </c>
    </row>
    <row r="3" spans="1:10" x14ac:dyDescent="0.25">
      <c r="A3" t="s">
        <v>8</v>
      </c>
      <c r="B3" t="s">
        <v>6</v>
      </c>
      <c r="C3">
        <v>-2.4700000000000002</v>
      </c>
      <c r="H3" s="1"/>
      <c r="I3" s="1">
        <v>1</v>
      </c>
      <c r="J3" s="7"/>
    </row>
    <row r="4" spans="1:10" x14ac:dyDescent="0.25">
      <c r="A4" t="s">
        <v>9</v>
      </c>
      <c r="B4" t="s">
        <v>7</v>
      </c>
      <c r="C4">
        <v>-2.48</v>
      </c>
      <c r="H4" s="1"/>
      <c r="I4" s="1">
        <v>1</v>
      </c>
      <c r="J4" s="7"/>
    </row>
    <row r="5" spans="1:10" x14ac:dyDescent="0.25">
      <c r="A5" t="s">
        <v>11</v>
      </c>
      <c r="B5" t="s">
        <v>10</v>
      </c>
      <c r="C5">
        <v>-2.2200000000000002</v>
      </c>
      <c r="H5" s="1"/>
      <c r="I5" s="1">
        <v>1</v>
      </c>
      <c r="J5" s="7"/>
    </row>
    <row r="6" spans="1:10" x14ac:dyDescent="0.25">
      <c r="A6" t="s">
        <v>13</v>
      </c>
      <c r="B6" t="s">
        <v>12</v>
      </c>
      <c r="C6">
        <v>-2.15</v>
      </c>
      <c r="H6" s="1"/>
      <c r="I6" s="1">
        <v>1</v>
      </c>
      <c r="J6" s="7"/>
    </row>
    <row r="7" spans="1:10" x14ac:dyDescent="0.25">
      <c r="A7" t="s">
        <v>14</v>
      </c>
      <c r="B7" t="s">
        <v>15</v>
      </c>
      <c r="C7">
        <v>-2.89</v>
      </c>
      <c r="H7" s="1"/>
      <c r="I7" s="1">
        <v>1</v>
      </c>
      <c r="J7" s="7"/>
    </row>
    <row r="8" spans="1:10" x14ac:dyDescent="0.25">
      <c r="A8" t="s">
        <v>14</v>
      </c>
      <c r="B8" t="s">
        <v>15</v>
      </c>
      <c r="C8">
        <v>-2.42</v>
      </c>
      <c r="H8" s="1"/>
      <c r="I8" s="1">
        <v>1</v>
      </c>
      <c r="J8" s="7" t="s">
        <v>19</v>
      </c>
    </row>
    <row r="9" spans="1:10" ht="53.25" customHeight="1" x14ac:dyDescent="0.25">
      <c r="A9" t="s">
        <v>17</v>
      </c>
      <c r="B9" t="s">
        <v>18</v>
      </c>
      <c r="C9">
        <v>-0.92</v>
      </c>
      <c r="F9">
        <v>1</v>
      </c>
      <c r="J9" s="7"/>
    </row>
    <row r="10" spans="1:10" x14ac:dyDescent="0.25">
      <c r="A10" t="s">
        <v>20</v>
      </c>
      <c r="B10" t="s">
        <v>21</v>
      </c>
      <c r="C10">
        <v>2.21</v>
      </c>
      <c r="F10">
        <v>1</v>
      </c>
      <c r="J10" s="7" t="s">
        <v>32</v>
      </c>
    </row>
    <row r="11" spans="1:10" x14ac:dyDescent="0.25">
      <c r="A11" t="s">
        <v>8</v>
      </c>
      <c r="B11" t="s">
        <v>6</v>
      </c>
      <c r="C11">
        <v>-2.4700000000000002</v>
      </c>
      <c r="H11" s="1"/>
      <c r="I11" s="1">
        <v>1</v>
      </c>
      <c r="J11" s="7"/>
    </row>
    <row r="12" spans="1:10" x14ac:dyDescent="0.25">
      <c r="A12" t="s">
        <v>25</v>
      </c>
      <c r="B12" t="s">
        <v>22</v>
      </c>
      <c r="C12">
        <v>-2.97</v>
      </c>
      <c r="D12">
        <f>-2.97+0.25</f>
        <v>-2.72</v>
      </c>
      <c r="E12">
        <f>-2.97-0.25</f>
        <v>-3.22</v>
      </c>
      <c r="H12" s="1"/>
      <c r="I12" s="1">
        <v>1</v>
      </c>
      <c r="J12" s="7"/>
    </row>
    <row r="13" spans="1:10" x14ac:dyDescent="0.25">
      <c r="A13" t="s">
        <v>26</v>
      </c>
      <c r="B13" t="s">
        <v>23</v>
      </c>
      <c r="C13">
        <v>-0.78400000000000003</v>
      </c>
      <c r="D13">
        <f>-0.784+0.309</f>
        <v>-0.47500000000000003</v>
      </c>
      <c r="E13">
        <f>-0.784-0.309</f>
        <v>-1.093</v>
      </c>
      <c r="H13" s="1"/>
      <c r="I13" s="1">
        <v>1</v>
      </c>
      <c r="J13" s="7"/>
    </row>
    <row r="14" spans="1:10" x14ac:dyDescent="0.25">
      <c r="A14" t="s">
        <v>24</v>
      </c>
      <c r="B14" t="s">
        <v>27</v>
      </c>
      <c r="C14">
        <v>-3.1E-2</v>
      </c>
      <c r="H14" s="1"/>
      <c r="I14" s="1">
        <v>1</v>
      </c>
      <c r="J14" s="7"/>
    </row>
    <row r="15" spans="1:10" x14ac:dyDescent="0.25">
      <c r="A15" t="s">
        <v>29</v>
      </c>
      <c r="B15" t="s">
        <v>28</v>
      </c>
      <c r="C15">
        <v>-3.1</v>
      </c>
      <c r="H15" s="1"/>
      <c r="I15">
        <v>1</v>
      </c>
      <c r="J15" s="7"/>
    </row>
    <row r="16" spans="1:10" x14ac:dyDescent="0.25">
      <c r="A16" t="s">
        <v>31</v>
      </c>
      <c r="B16" t="s">
        <v>30</v>
      </c>
      <c r="C16">
        <v>-0.52</v>
      </c>
      <c r="H16" s="1"/>
      <c r="I16">
        <v>1</v>
      </c>
      <c r="J16" s="7"/>
    </row>
    <row r="17" spans="1:10" x14ac:dyDescent="0.25">
      <c r="A17" t="s">
        <v>31</v>
      </c>
      <c r="B17" t="s">
        <v>30</v>
      </c>
      <c r="C17">
        <v>-0.11</v>
      </c>
      <c r="H17" s="1"/>
      <c r="I17">
        <v>1</v>
      </c>
      <c r="J17" s="7"/>
    </row>
    <row r="18" spans="1:10" x14ac:dyDescent="0.25">
      <c r="A18" t="s">
        <v>33</v>
      </c>
      <c r="B18" t="s">
        <v>34</v>
      </c>
      <c r="C18">
        <v>-3.32</v>
      </c>
      <c r="H18" s="1">
        <v>1</v>
      </c>
      <c r="J18" s="7" t="s">
        <v>41</v>
      </c>
    </row>
    <row r="19" spans="1:10" x14ac:dyDescent="0.25">
      <c r="A19" t="s">
        <v>35</v>
      </c>
      <c r="B19" t="s">
        <v>36</v>
      </c>
      <c r="C19">
        <v>-1.29</v>
      </c>
      <c r="H19" s="1">
        <v>1</v>
      </c>
      <c r="J19" s="7"/>
    </row>
    <row r="20" spans="1:10" x14ac:dyDescent="0.25">
      <c r="A20" t="s">
        <v>37</v>
      </c>
      <c r="B20" t="s">
        <v>38</v>
      </c>
      <c r="C20">
        <v>-0.99</v>
      </c>
      <c r="H20" s="1">
        <v>1</v>
      </c>
      <c r="J20" s="7"/>
    </row>
    <row r="21" spans="1:10" x14ac:dyDescent="0.25">
      <c r="A21" t="s">
        <v>39</v>
      </c>
      <c r="B21" t="s">
        <v>40</v>
      </c>
      <c r="C21">
        <v>-0.04</v>
      </c>
      <c r="H21" s="1">
        <v>1</v>
      </c>
      <c r="J21" s="7"/>
    </row>
    <row r="22" spans="1:10" x14ac:dyDescent="0.25">
      <c r="A22" t="s">
        <v>42</v>
      </c>
      <c r="B22" t="s">
        <v>43</v>
      </c>
      <c r="C22">
        <v>-1.8</v>
      </c>
      <c r="D22">
        <v>-1.6</v>
      </c>
      <c r="E22">
        <v>-2</v>
      </c>
      <c r="H22" s="1"/>
      <c r="I22">
        <v>1</v>
      </c>
      <c r="J22" s="7" t="s">
        <v>41</v>
      </c>
    </row>
    <row r="23" spans="1:10" x14ac:dyDescent="0.25">
      <c r="A23" t="s">
        <v>39</v>
      </c>
      <c r="B23" t="s">
        <v>40</v>
      </c>
      <c r="C23">
        <v>-0.8</v>
      </c>
      <c r="D23">
        <v>-0.6</v>
      </c>
      <c r="E23">
        <v>-1</v>
      </c>
      <c r="H23" s="1">
        <v>1</v>
      </c>
      <c r="J23" s="7"/>
    </row>
    <row r="24" spans="1:10" x14ac:dyDescent="0.25">
      <c r="A24" t="s">
        <v>44</v>
      </c>
      <c r="B24" t="s">
        <v>287</v>
      </c>
      <c r="C24">
        <v>-0.1</v>
      </c>
      <c r="D24">
        <v>0.1</v>
      </c>
      <c r="E24">
        <v>-0.3</v>
      </c>
      <c r="H24" s="1">
        <v>1</v>
      </c>
      <c r="J24" s="7"/>
    </row>
    <row r="25" spans="1:10" x14ac:dyDescent="0.25">
      <c r="A25" t="s">
        <v>45</v>
      </c>
      <c r="B25" t="s">
        <v>46</v>
      </c>
      <c r="C25">
        <v>-1.6</v>
      </c>
      <c r="D25">
        <v>-1.2</v>
      </c>
      <c r="E25">
        <v>-2</v>
      </c>
      <c r="H25" s="1">
        <v>1</v>
      </c>
      <c r="J25" s="7"/>
    </row>
    <row r="26" spans="1:10" ht="14.45" customHeight="1" x14ac:dyDescent="0.25">
      <c r="A26" t="s">
        <v>47</v>
      </c>
      <c r="B26" t="s">
        <v>48</v>
      </c>
      <c r="C26">
        <v>2.4000000000000004</v>
      </c>
      <c r="H26" s="1">
        <v>1</v>
      </c>
      <c r="J26" s="7" t="s">
        <v>67</v>
      </c>
    </row>
    <row r="27" spans="1:10" x14ac:dyDescent="0.25">
      <c r="A27" t="s">
        <v>49</v>
      </c>
      <c r="B27" t="s">
        <v>50</v>
      </c>
      <c r="C27">
        <v>1.7999999999999998</v>
      </c>
      <c r="H27" s="1">
        <v>1</v>
      </c>
      <c r="J27" s="7"/>
    </row>
    <row r="28" spans="1:10" x14ac:dyDescent="0.25">
      <c r="A28" t="s">
        <v>51</v>
      </c>
      <c r="B28" t="s">
        <v>52</v>
      </c>
      <c r="C28">
        <v>0.29999999999999982</v>
      </c>
      <c r="H28" s="1">
        <v>1</v>
      </c>
      <c r="J28" s="7"/>
    </row>
    <row r="29" spans="1:10" x14ac:dyDescent="0.25">
      <c r="A29" t="s">
        <v>53</v>
      </c>
      <c r="B29" t="s">
        <v>54</v>
      </c>
      <c r="C29">
        <v>-1</v>
      </c>
      <c r="H29" s="1">
        <v>1</v>
      </c>
      <c r="J29" s="7"/>
    </row>
    <row r="30" spans="1:10" x14ac:dyDescent="0.25">
      <c r="A30" t="s">
        <v>55</v>
      </c>
      <c r="B30" t="s">
        <v>56</v>
      </c>
      <c r="C30">
        <v>1.2999999999999998</v>
      </c>
      <c r="H30" s="1">
        <v>1</v>
      </c>
      <c r="J30" s="7"/>
    </row>
    <row r="31" spans="1:10" x14ac:dyDescent="0.25">
      <c r="A31" t="s">
        <v>57</v>
      </c>
      <c r="B31" t="s">
        <v>58</v>
      </c>
      <c r="C31">
        <v>9.9999999999999645E-2</v>
      </c>
      <c r="H31" s="1">
        <v>1</v>
      </c>
      <c r="J31" s="7"/>
    </row>
    <row r="32" spans="1:10" x14ac:dyDescent="0.25">
      <c r="A32" t="s">
        <v>59</v>
      </c>
      <c r="B32" t="s">
        <v>60</v>
      </c>
      <c r="C32">
        <v>-0.90000000000000036</v>
      </c>
      <c r="H32" s="1">
        <v>1</v>
      </c>
      <c r="J32" s="7"/>
    </row>
    <row r="33" spans="1:10" x14ac:dyDescent="0.25">
      <c r="A33" t="s">
        <v>61</v>
      </c>
      <c r="B33" t="s">
        <v>62</v>
      </c>
      <c r="C33">
        <v>2</v>
      </c>
      <c r="H33" s="1">
        <v>1</v>
      </c>
      <c r="J33" s="7"/>
    </row>
    <row r="34" spans="1:10" x14ac:dyDescent="0.25">
      <c r="A34" t="s">
        <v>63</v>
      </c>
      <c r="B34" t="s">
        <v>64</v>
      </c>
      <c r="C34">
        <v>0.79999999999999982</v>
      </c>
      <c r="H34" s="1">
        <v>1</v>
      </c>
      <c r="J34" s="7"/>
    </row>
    <row r="35" spans="1:10" x14ac:dyDescent="0.25">
      <c r="A35" t="s">
        <v>65</v>
      </c>
      <c r="B35" t="s">
        <v>66</v>
      </c>
      <c r="C35">
        <v>-0.20000000000000018</v>
      </c>
      <c r="H35" s="1">
        <v>1</v>
      </c>
      <c r="J35" s="7"/>
    </row>
    <row r="36" spans="1:10" x14ac:dyDescent="0.25">
      <c r="A36" t="s">
        <v>137</v>
      </c>
      <c r="B36" t="s">
        <v>163</v>
      </c>
      <c r="C36">
        <f>5.86 - 5</f>
        <v>0.86000000000000032</v>
      </c>
      <c r="H36" s="1">
        <v>1</v>
      </c>
      <c r="J36" s="7"/>
    </row>
    <row r="37" spans="1:10" x14ac:dyDescent="0.25">
      <c r="A37" t="s">
        <v>139</v>
      </c>
      <c r="B37" t="s">
        <v>164</v>
      </c>
      <c r="C37">
        <f>8.26-10</f>
        <v>-1.7400000000000002</v>
      </c>
      <c r="H37" s="1">
        <v>1</v>
      </c>
      <c r="J37" s="7"/>
    </row>
    <row r="38" spans="1:10" x14ac:dyDescent="0.25">
      <c r="A38" t="s">
        <v>138</v>
      </c>
      <c r="B38" t="s">
        <v>165</v>
      </c>
      <c r="C38">
        <f>10.55-13</f>
        <v>-2.4499999999999993</v>
      </c>
      <c r="H38">
        <v>1</v>
      </c>
      <c r="J38" s="7"/>
    </row>
    <row r="39" spans="1:10" x14ac:dyDescent="0.25">
      <c r="A39" t="s">
        <v>140</v>
      </c>
      <c r="B39" t="s">
        <v>166</v>
      </c>
      <c r="C39">
        <f>12.85-17</f>
        <v>-4.1500000000000004</v>
      </c>
      <c r="H39">
        <v>1</v>
      </c>
      <c r="J39" s="7"/>
    </row>
    <row r="40" spans="1:10" x14ac:dyDescent="0.25">
      <c r="A40" t="s">
        <v>68</v>
      </c>
      <c r="B40" t="s">
        <v>69</v>
      </c>
      <c r="C40">
        <v>-10</v>
      </c>
      <c r="D40">
        <v>-9.3000000000000007</v>
      </c>
      <c r="E40">
        <v>-10.7</v>
      </c>
      <c r="G40">
        <v>1</v>
      </c>
      <c r="J40" s="7" t="s">
        <v>86</v>
      </c>
    </row>
    <row r="41" spans="1:10" x14ac:dyDescent="0.25">
      <c r="A41" t="s">
        <v>70</v>
      </c>
      <c r="B41" t="s">
        <v>71</v>
      </c>
      <c r="C41">
        <v>-8.4</v>
      </c>
      <c r="D41">
        <v>-7.9</v>
      </c>
      <c r="E41">
        <v>-8.9</v>
      </c>
      <c r="G41">
        <v>1</v>
      </c>
      <c r="J41" s="7"/>
    </row>
    <row r="42" spans="1:10" x14ac:dyDescent="0.25">
      <c r="A42" t="s">
        <v>73</v>
      </c>
      <c r="B42" t="s">
        <v>74</v>
      </c>
      <c r="C42">
        <v>-5.7</v>
      </c>
      <c r="D42">
        <v>-5.4</v>
      </c>
      <c r="E42">
        <v>-6</v>
      </c>
      <c r="G42">
        <v>1</v>
      </c>
      <c r="J42" s="7"/>
    </row>
    <row r="43" spans="1:10" x14ac:dyDescent="0.25">
      <c r="A43" t="s">
        <v>72</v>
      </c>
      <c r="B43" t="s">
        <v>75</v>
      </c>
      <c r="C43">
        <v>8.3000000000000007</v>
      </c>
      <c r="D43">
        <v>9.6999999999999993</v>
      </c>
      <c r="E43">
        <v>6.9</v>
      </c>
      <c r="G43">
        <v>1</v>
      </c>
      <c r="J43" s="7"/>
    </row>
    <row r="44" spans="1:10" x14ac:dyDescent="0.25">
      <c r="A44" t="s">
        <v>76</v>
      </c>
      <c r="B44" t="s">
        <v>77</v>
      </c>
      <c r="C44">
        <v>0.1</v>
      </c>
      <c r="D44">
        <v>0.5</v>
      </c>
      <c r="E44">
        <f>0/3</f>
        <v>0</v>
      </c>
      <c r="G44">
        <v>1</v>
      </c>
      <c r="J44" s="7"/>
    </row>
    <row r="45" spans="1:10" ht="15.75" thickBot="1" x14ac:dyDescent="0.3">
      <c r="A45" t="s">
        <v>78</v>
      </c>
      <c r="B45" t="s">
        <v>79</v>
      </c>
      <c r="C45">
        <v>-7</v>
      </c>
      <c r="D45">
        <v>-6.9</v>
      </c>
      <c r="E45">
        <v>-7.1</v>
      </c>
      <c r="G45">
        <v>1</v>
      </c>
      <c r="J45" s="7"/>
    </row>
    <row r="46" spans="1:10" ht="15.75" thickBot="1" x14ac:dyDescent="0.3">
      <c r="A46" t="s">
        <v>80</v>
      </c>
      <c r="B46" s="2" t="s">
        <v>81</v>
      </c>
      <c r="C46">
        <v>-1</v>
      </c>
      <c r="D46">
        <v>-0.4</v>
      </c>
      <c r="E46">
        <v>-1.6</v>
      </c>
      <c r="G46">
        <v>1</v>
      </c>
      <c r="J46" s="7"/>
    </row>
    <row r="47" spans="1:10" ht="15.75" thickBot="1" x14ac:dyDescent="0.3">
      <c r="A47" t="s">
        <v>82</v>
      </c>
      <c r="B47" s="2" t="s">
        <v>84</v>
      </c>
      <c r="C47">
        <v>0.7</v>
      </c>
      <c r="D47" s="3">
        <v>1.3</v>
      </c>
      <c r="E47">
        <v>0.1</v>
      </c>
      <c r="G47">
        <v>1</v>
      </c>
      <c r="J47" s="7"/>
    </row>
    <row r="48" spans="1:10" x14ac:dyDescent="0.25">
      <c r="A48" t="s">
        <v>83</v>
      </c>
      <c r="B48" s="2" t="s">
        <v>85</v>
      </c>
      <c r="C48" s="3">
        <v>1.6</v>
      </c>
      <c r="D48">
        <v>1.8</v>
      </c>
      <c r="E48">
        <v>1.4</v>
      </c>
      <c r="G48">
        <v>1</v>
      </c>
      <c r="J48" s="7"/>
    </row>
    <row r="49" spans="1:10" ht="90" x14ac:dyDescent="0.25">
      <c r="A49" t="s">
        <v>87</v>
      </c>
      <c r="B49" s="4" t="s">
        <v>88</v>
      </c>
      <c r="C49">
        <v>1.28</v>
      </c>
      <c r="H49">
        <v>1</v>
      </c>
      <c r="J49" s="5" t="s">
        <v>89</v>
      </c>
    </row>
    <row r="50" spans="1:10" x14ac:dyDescent="0.25">
      <c r="A50" t="s">
        <v>53</v>
      </c>
      <c r="B50" t="s">
        <v>54</v>
      </c>
      <c r="C50">
        <v>-0.38400000000000001</v>
      </c>
      <c r="D50">
        <f>C50+0.16</f>
        <v>-0.224</v>
      </c>
      <c r="E50">
        <f>C50-0.16</f>
        <v>-0.54400000000000004</v>
      </c>
      <c r="H50">
        <v>1</v>
      </c>
      <c r="J50" s="7" t="s">
        <v>96</v>
      </c>
    </row>
    <row r="51" spans="1:10" x14ac:dyDescent="0.25">
      <c r="A51" t="s">
        <v>55</v>
      </c>
      <c r="B51" t="s">
        <v>56</v>
      </c>
      <c r="C51">
        <v>1.2450000000000001</v>
      </c>
      <c r="D51">
        <f>C51+0.03</f>
        <v>1.2750000000000001</v>
      </c>
      <c r="E51">
        <f>C51-0.03</f>
        <v>1.2150000000000001</v>
      </c>
      <c r="H51">
        <v>1</v>
      </c>
      <c r="J51" s="7"/>
    </row>
    <row r="52" spans="1:10" x14ac:dyDescent="0.25">
      <c r="A52" t="s">
        <v>57</v>
      </c>
      <c r="B52" t="s">
        <v>58</v>
      </c>
      <c r="C52">
        <v>0.20799999999999999</v>
      </c>
      <c r="D52">
        <f>C52+0.06</f>
        <v>0.26800000000000002</v>
      </c>
      <c r="E52">
        <f>C52-0.06</f>
        <v>0.14799999999999999</v>
      </c>
      <c r="H52">
        <v>1</v>
      </c>
      <c r="J52" s="7"/>
    </row>
    <row r="53" spans="1:10" x14ac:dyDescent="0.25">
      <c r="A53" t="s">
        <v>90</v>
      </c>
      <c r="B53" t="s">
        <v>91</v>
      </c>
      <c r="C53">
        <v>2.7</v>
      </c>
      <c r="D53">
        <v>2.85</v>
      </c>
      <c r="E53">
        <v>2.5499999999999998</v>
      </c>
      <c r="H53">
        <v>1</v>
      </c>
      <c r="J53" s="7"/>
    </row>
    <row r="54" spans="1:10" x14ac:dyDescent="0.25">
      <c r="A54" t="s">
        <v>61</v>
      </c>
      <c r="B54" t="s">
        <v>62</v>
      </c>
      <c r="C54">
        <v>1.77</v>
      </c>
      <c r="D54">
        <f>C54+0.03</f>
        <v>1.8</v>
      </c>
      <c r="E54">
        <f>C54-0.03</f>
        <v>1.74</v>
      </c>
      <c r="H54">
        <v>1</v>
      </c>
      <c r="J54" s="7"/>
    </row>
    <row r="55" spans="1:10" x14ac:dyDescent="0.25">
      <c r="A55" t="s">
        <v>63</v>
      </c>
      <c r="B55" t="s">
        <v>64</v>
      </c>
      <c r="C55">
        <v>0.81</v>
      </c>
      <c r="D55">
        <v>0.87</v>
      </c>
      <c r="E55">
        <v>0.75</v>
      </c>
      <c r="H55">
        <v>1</v>
      </c>
      <c r="J55" s="7"/>
    </row>
    <row r="56" spans="1:10" x14ac:dyDescent="0.25">
      <c r="A56" t="s">
        <v>65</v>
      </c>
      <c r="B56" t="s">
        <v>66</v>
      </c>
      <c r="C56">
        <v>-0.8</v>
      </c>
      <c r="D56">
        <v>-0.65</v>
      </c>
      <c r="E56">
        <v>-0.95</v>
      </c>
      <c r="H56">
        <v>1</v>
      </c>
      <c r="J56" s="7"/>
    </row>
    <row r="57" spans="1:10" x14ac:dyDescent="0.25">
      <c r="A57" t="s">
        <v>92</v>
      </c>
      <c r="B57" t="s">
        <v>93</v>
      </c>
      <c r="C57">
        <v>-0.70499999999999996</v>
      </c>
      <c r="D57">
        <f>C57+0.3</f>
        <v>-0.40499999999999997</v>
      </c>
      <c r="E57">
        <f>C57-0.3</f>
        <v>-1.0049999999999999</v>
      </c>
      <c r="H57">
        <v>1</v>
      </c>
      <c r="J57" s="7"/>
    </row>
    <row r="58" spans="1:10" x14ac:dyDescent="0.25">
      <c r="A58" t="s">
        <v>94</v>
      </c>
      <c r="B58" t="s">
        <v>95</v>
      </c>
      <c r="C58">
        <v>-1.425</v>
      </c>
      <c r="D58">
        <f>C58+0.45</f>
        <v>-0.97500000000000009</v>
      </c>
      <c r="E58">
        <f>C58-0.45</f>
        <v>-1.875</v>
      </c>
      <c r="H58">
        <v>1</v>
      </c>
      <c r="J58" s="7"/>
    </row>
    <row r="59" spans="1:10" x14ac:dyDescent="0.25">
      <c r="A59" t="s">
        <v>97</v>
      </c>
      <c r="B59" t="s">
        <v>98</v>
      </c>
      <c r="C59">
        <f>9*0.16</f>
        <v>1.44</v>
      </c>
      <c r="D59">
        <f>C59+0.16*0.2</f>
        <v>1.472</v>
      </c>
      <c r="E59">
        <f>C59-0.16*0.2</f>
        <v>1.4079999999999999</v>
      </c>
      <c r="H59">
        <v>1</v>
      </c>
      <c r="J59" s="7" t="s">
        <v>107</v>
      </c>
    </row>
    <row r="60" spans="1:10" x14ac:dyDescent="0.25">
      <c r="A60" t="s">
        <v>99</v>
      </c>
      <c r="B60" t="s">
        <v>100</v>
      </c>
      <c r="C60">
        <f>1.2*0.16</f>
        <v>0.192</v>
      </c>
      <c r="D60">
        <f>C60+0.4*0.16</f>
        <v>0.25600000000000001</v>
      </c>
      <c r="E60">
        <f>C60-0.4*0.16</f>
        <v>0.128</v>
      </c>
      <c r="H60">
        <v>1</v>
      </c>
      <c r="J60" s="7"/>
    </row>
    <row r="61" spans="1:10" x14ac:dyDescent="0.25">
      <c r="A61" t="s">
        <v>47</v>
      </c>
      <c r="B61" t="s">
        <v>48</v>
      </c>
      <c r="C61">
        <f>11.9*0.16</f>
        <v>1.9040000000000001</v>
      </c>
      <c r="D61">
        <f>C61+0.2*0.16</f>
        <v>1.9360000000000002</v>
      </c>
      <c r="E61">
        <f>C61-0.2*0.16</f>
        <v>1.8720000000000001</v>
      </c>
      <c r="H61">
        <v>1</v>
      </c>
      <c r="J61" s="7"/>
    </row>
    <row r="62" spans="1:10" x14ac:dyDescent="0.25">
      <c r="A62" t="s">
        <v>101</v>
      </c>
      <c r="B62" t="s">
        <v>102</v>
      </c>
      <c r="C62">
        <f>3.3*0.16</f>
        <v>0.52800000000000002</v>
      </c>
      <c r="D62">
        <f>C62+0.4*0.16</f>
        <v>0.59200000000000008</v>
      </c>
      <c r="E62">
        <f>C62-0.4*0.16</f>
        <v>0.46400000000000002</v>
      </c>
      <c r="H62">
        <v>1</v>
      </c>
      <c r="J62" s="7"/>
    </row>
    <row r="63" spans="1:10" x14ac:dyDescent="0.25">
      <c r="A63" t="s">
        <v>103</v>
      </c>
      <c r="B63" t="s">
        <v>104</v>
      </c>
      <c r="C63">
        <f>-1.5*0.16</f>
        <v>-0.24</v>
      </c>
      <c r="D63">
        <f>C63+0.16</f>
        <v>-7.9999999999999988E-2</v>
      </c>
      <c r="E63">
        <f>C63-0.16</f>
        <v>-0.4</v>
      </c>
      <c r="H63">
        <v>1</v>
      </c>
      <c r="J63" s="7"/>
    </row>
    <row r="64" spans="1:10" x14ac:dyDescent="0.25">
      <c r="A64" t="s">
        <v>49</v>
      </c>
      <c r="B64" t="s">
        <v>50</v>
      </c>
      <c r="C64">
        <f>11.2*0.16</f>
        <v>1.7919999999999998</v>
      </c>
      <c r="D64">
        <f>C64+0.16*0.2</f>
        <v>1.8239999999999998</v>
      </c>
      <c r="E64">
        <f>C64-0.16*0.2</f>
        <v>1.7599999999999998</v>
      </c>
      <c r="H64">
        <v>1</v>
      </c>
      <c r="J64" s="7"/>
    </row>
    <row r="65" spans="1:10" x14ac:dyDescent="0.25">
      <c r="A65" t="s">
        <v>51</v>
      </c>
      <c r="B65" t="s">
        <v>52</v>
      </c>
      <c r="C65">
        <f>2.7*0.16</f>
        <v>0.43200000000000005</v>
      </c>
      <c r="D65">
        <f>C65+0.4*0.16</f>
        <v>0.49600000000000005</v>
      </c>
      <c r="E65">
        <f>C65-0.4*0.16</f>
        <v>0.36800000000000005</v>
      </c>
      <c r="H65">
        <v>1</v>
      </c>
      <c r="J65" s="7"/>
    </row>
    <row r="66" spans="1:10" x14ac:dyDescent="0.25">
      <c r="A66" t="s">
        <v>53</v>
      </c>
      <c r="B66" t="s">
        <v>54</v>
      </c>
      <c r="C66">
        <f>-2.4*0.16</f>
        <v>-0.38400000000000001</v>
      </c>
      <c r="D66">
        <f>C66+0.16</f>
        <v>-0.224</v>
      </c>
      <c r="E66">
        <f>C66-0.16</f>
        <v>-0.54400000000000004</v>
      </c>
      <c r="H66">
        <v>1</v>
      </c>
      <c r="J66" s="7"/>
    </row>
    <row r="67" spans="1:10" x14ac:dyDescent="0.25">
      <c r="A67" t="s">
        <v>105</v>
      </c>
      <c r="B67" t="s">
        <v>106</v>
      </c>
      <c r="C67">
        <f>-6.3*0.16</f>
        <v>-1.008</v>
      </c>
      <c r="D67">
        <f>C67+0.32</f>
        <v>-0.68799999999999994</v>
      </c>
      <c r="E67">
        <f>C67-0.32</f>
        <v>-1.3280000000000001</v>
      </c>
      <c r="H67">
        <v>1</v>
      </c>
      <c r="J67" s="7"/>
    </row>
    <row r="68" spans="1:10" x14ac:dyDescent="0.25">
      <c r="A68" t="s">
        <v>55</v>
      </c>
      <c r="B68" t="s">
        <v>56</v>
      </c>
      <c r="C68">
        <f>8.1*0.16</f>
        <v>1.296</v>
      </c>
      <c r="D68">
        <f>C68+0.032</f>
        <v>1.3280000000000001</v>
      </c>
      <c r="E68">
        <f>C68-0.032</f>
        <v>1.264</v>
      </c>
      <c r="H68">
        <v>1</v>
      </c>
      <c r="J68" s="7"/>
    </row>
    <row r="69" spans="1:10" x14ac:dyDescent="0.25">
      <c r="A69" t="s">
        <v>57</v>
      </c>
      <c r="B69" t="s">
        <v>58</v>
      </c>
      <c r="C69">
        <f>1.3*0.16</f>
        <v>0.20800000000000002</v>
      </c>
      <c r="D69">
        <f>C69+0.064</f>
        <v>0.27200000000000002</v>
      </c>
      <c r="E69">
        <f>C69-0.064</f>
        <v>0.14400000000000002</v>
      </c>
      <c r="H69">
        <v>1</v>
      </c>
      <c r="J69" s="7"/>
    </row>
    <row r="70" spans="1:10" x14ac:dyDescent="0.25">
      <c r="A70" t="s">
        <v>59</v>
      </c>
      <c r="B70" t="s">
        <v>60</v>
      </c>
      <c r="C70">
        <f>-4.1*0.16</f>
        <v>-0.65599999999999992</v>
      </c>
      <c r="D70">
        <f>C70+0.32</f>
        <v>-0.33599999999999991</v>
      </c>
      <c r="E70">
        <f>C70-0.32</f>
        <v>-0.97599999999999998</v>
      </c>
      <c r="H70">
        <v>1</v>
      </c>
      <c r="J70" s="7"/>
    </row>
    <row r="71" spans="1:10" x14ac:dyDescent="0.25">
      <c r="A71" t="s">
        <v>61</v>
      </c>
      <c r="B71" t="s">
        <v>62</v>
      </c>
      <c r="C71">
        <f>11.8*0.16</f>
        <v>1.8880000000000001</v>
      </c>
      <c r="D71">
        <f>C71+0.032</f>
        <v>1.9200000000000002</v>
      </c>
      <c r="E71">
        <f>C71-0.032</f>
        <v>1.8560000000000001</v>
      </c>
      <c r="H71">
        <v>1</v>
      </c>
      <c r="J71" s="7"/>
    </row>
    <row r="72" spans="1:10" x14ac:dyDescent="0.25">
      <c r="A72" t="s">
        <v>63</v>
      </c>
      <c r="B72" t="s">
        <v>64</v>
      </c>
      <c r="C72">
        <f>5.4*0.16</f>
        <v>0.8640000000000001</v>
      </c>
      <c r="D72">
        <f>C72+0.064</f>
        <v>0.92800000000000016</v>
      </c>
      <c r="E72">
        <f>C72-0.064</f>
        <v>0.8</v>
      </c>
      <c r="H72">
        <v>1</v>
      </c>
      <c r="J72" s="7"/>
    </row>
    <row r="73" spans="1:10" x14ac:dyDescent="0.25">
      <c r="A73" t="s">
        <v>65</v>
      </c>
      <c r="B73" t="s">
        <v>66</v>
      </c>
      <c r="C73">
        <f>-0.5*0.16</f>
        <v>-0.08</v>
      </c>
      <c r="D73">
        <f>C73+0.32</f>
        <v>0.24</v>
      </c>
      <c r="E73">
        <f>C73-0.32</f>
        <v>-0.4</v>
      </c>
      <c r="H73">
        <v>1</v>
      </c>
      <c r="J73" s="7"/>
    </row>
    <row r="74" spans="1:10" x14ac:dyDescent="0.25">
      <c r="A74" t="s">
        <v>92</v>
      </c>
      <c r="B74" t="s">
        <v>93</v>
      </c>
      <c r="C74">
        <f>-4.7*0.16</f>
        <v>-0.752</v>
      </c>
      <c r="D74">
        <f>C74+0.32</f>
        <v>-0.432</v>
      </c>
      <c r="E74">
        <f>C74-0.32</f>
        <v>-1.0720000000000001</v>
      </c>
      <c r="H74">
        <v>1</v>
      </c>
      <c r="J74" s="7"/>
    </row>
    <row r="75" spans="1:10" x14ac:dyDescent="0.25">
      <c r="A75" t="s">
        <v>94</v>
      </c>
      <c r="B75" t="s">
        <v>95</v>
      </c>
      <c r="C75">
        <f>-9.5*0.16</f>
        <v>-1.52</v>
      </c>
      <c r="D75">
        <f>C75+0.48</f>
        <v>-1.04</v>
      </c>
      <c r="E75">
        <f>C75-0.48</f>
        <v>-2</v>
      </c>
      <c r="H75">
        <v>1</v>
      </c>
      <c r="J75" s="7"/>
    </row>
    <row r="76" spans="1:10" x14ac:dyDescent="0.25">
      <c r="A76" t="s">
        <v>108</v>
      </c>
      <c r="B76" t="s">
        <v>46</v>
      </c>
      <c r="C76">
        <v>-0.45</v>
      </c>
      <c r="D76">
        <f>C76+0.13</f>
        <v>-0.32</v>
      </c>
      <c r="E76">
        <f>C76-0.13</f>
        <v>-0.58000000000000007</v>
      </c>
      <c r="H76">
        <v>1</v>
      </c>
      <c r="J76" s="7" t="s">
        <v>117</v>
      </c>
    </row>
    <row r="77" spans="1:10" x14ac:dyDescent="0.25">
      <c r="A77" t="s">
        <v>109</v>
      </c>
      <c r="B77" t="s">
        <v>110</v>
      </c>
      <c r="C77">
        <v>7.0000000000000007E-2</v>
      </c>
      <c r="D77">
        <v>0.16</v>
      </c>
      <c r="E77">
        <v>-0.02</v>
      </c>
      <c r="H77">
        <v>1</v>
      </c>
      <c r="J77" s="7"/>
    </row>
    <row r="78" spans="1:10" x14ac:dyDescent="0.25">
      <c r="A78" t="s">
        <v>111</v>
      </c>
      <c r="B78" t="s">
        <v>38</v>
      </c>
      <c r="C78">
        <v>-0.96</v>
      </c>
      <c r="D78">
        <f>C78+(0.17)</f>
        <v>-0.78999999999999992</v>
      </c>
      <c r="E78">
        <f>C78-0.17</f>
        <v>-1.1299999999999999</v>
      </c>
      <c r="H78">
        <v>1</v>
      </c>
      <c r="J78" s="7"/>
    </row>
    <row r="79" spans="1:10" x14ac:dyDescent="0.25">
      <c r="A79" t="s">
        <v>33</v>
      </c>
      <c r="B79" t="s">
        <v>112</v>
      </c>
      <c r="C79">
        <v>-3.3</v>
      </c>
      <c r="D79">
        <f>C79+0.7</f>
        <v>-2.5999999999999996</v>
      </c>
      <c r="E79">
        <f>-C79-0.7</f>
        <v>2.5999999999999996</v>
      </c>
      <c r="H79">
        <v>1</v>
      </c>
      <c r="J79" s="7"/>
    </row>
    <row r="80" spans="1:10" x14ac:dyDescent="0.25">
      <c r="A80" t="s">
        <v>113</v>
      </c>
      <c r="B80" t="s">
        <v>114</v>
      </c>
      <c r="C80">
        <f>-1.1</f>
        <v>-1.1000000000000001</v>
      </c>
      <c r="D80">
        <f>C80+0.4</f>
        <v>-0.70000000000000007</v>
      </c>
      <c r="E80">
        <f>C80-0.4</f>
        <v>-1.5</v>
      </c>
      <c r="H80">
        <v>1</v>
      </c>
      <c r="J80" s="7"/>
    </row>
    <row r="81" spans="1:10" x14ac:dyDescent="0.25">
      <c r="A81" t="s">
        <v>35</v>
      </c>
      <c r="B81" t="s">
        <v>36</v>
      </c>
      <c r="C81">
        <v>-1.3</v>
      </c>
      <c r="D81">
        <f>C81+0.3</f>
        <v>-1</v>
      </c>
      <c r="E81">
        <f>C81-0.3</f>
        <v>-1.6</v>
      </c>
      <c r="H81">
        <v>1</v>
      </c>
      <c r="J81" s="7"/>
    </row>
    <row r="82" spans="1:10" x14ac:dyDescent="0.25">
      <c r="A82" t="s">
        <v>115</v>
      </c>
      <c r="B82" t="s">
        <v>116</v>
      </c>
      <c r="C82">
        <v>4.0999999999999996</v>
      </c>
      <c r="H82">
        <v>1</v>
      </c>
      <c r="J82" s="7"/>
    </row>
    <row r="83" spans="1:10" x14ac:dyDescent="0.25">
      <c r="A83" t="s">
        <v>118</v>
      </c>
      <c r="B83" t="s">
        <v>119</v>
      </c>
      <c r="C83">
        <v>0</v>
      </c>
      <c r="D83">
        <v>0.1</v>
      </c>
      <c r="E83">
        <v>-0.1</v>
      </c>
      <c r="F83">
        <v>1</v>
      </c>
      <c r="J83" s="7" t="s">
        <v>136</v>
      </c>
    </row>
    <row r="84" spans="1:10" x14ac:dyDescent="0.25">
      <c r="A84" t="s">
        <v>120</v>
      </c>
      <c r="B84" t="s">
        <v>121</v>
      </c>
      <c r="C84">
        <v>-1.7</v>
      </c>
      <c r="D84">
        <v>-1.6</v>
      </c>
      <c r="E84">
        <v>-1.8</v>
      </c>
      <c r="F84">
        <v>1</v>
      </c>
      <c r="J84" s="7"/>
    </row>
    <row r="85" spans="1:10" x14ac:dyDescent="0.25">
      <c r="A85" t="s">
        <v>122</v>
      </c>
      <c r="B85" t="s">
        <v>123</v>
      </c>
      <c r="C85">
        <v>-2.1</v>
      </c>
      <c r="D85">
        <v>-2</v>
      </c>
      <c r="E85">
        <v>-2.2000000000000002</v>
      </c>
      <c r="F85">
        <v>1</v>
      </c>
      <c r="J85" s="7"/>
    </row>
    <row r="86" spans="1:10" x14ac:dyDescent="0.25">
      <c r="A86" t="s">
        <v>124</v>
      </c>
      <c r="B86" t="s">
        <v>125</v>
      </c>
      <c r="C86">
        <v>6.6</v>
      </c>
      <c r="D86">
        <v>5.0999999999999996</v>
      </c>
      <c r="E86">
        <v>8.1</v>
      </c>
      <c r="H86">
        <v>1</v>
      </c>
      <c r="J86" s="7"/>
    </row>
    <row r="87" spans="1:10" x14ac:dyDescent="0.25">
      <c r="A87" t="s">
        <v>115</v>
      </c>
      <c r="B87" t="s">
        <v>116</v>
      </c>
      <c r="C87">
        <v>3.5</v>
      </c>
      <c r="D87">
        <v>2.7</v>
      </c>
      <c r="E87">
        <v>4.3</v>
      </c>
      <c r="H87">
        <v>1</v>
      </c>
      <c r="J87" s="7"/>
    </row>
    <row r="88" spans="1:10" x14ac:dyDescent="0.25">
      <c r="A88" t="s">
        <v>126</v>
      </c>
      <c r="B88" t="s">
        <v>127</v>
      </c>
      <c r="C88">
        <v>-4.2</v>
      </c>
      <c r="D88">
        <v>-4</v>
      </c>
      <c r="E88">
        <v>-4.4000000000000004</v>
      </c>
      <c r="F88">
        <v>1</v>
      </c>
      <c r="J88" s="7"/>
    </row>
    <row r="89" spans="1:10" x14ac:dyDescent="0.25">
      <c r="A89" t="s">
        <v>128</v>
      </c>
      <c r="B89" t="s">
        <v>129</v>
      </c>
      <c r="C89">
        <v>-0.8</v>
      </c>
      <c r="D89">
        <v>-0.6</v>
      </c>
      <c r="E89">
        <v>-1</v>
      </c>
      <c r="H89">
        <v>1</v>
      </c>
      <c r="J89" s="7"/>
    </row>
    <row r="90" spans="1:10" x14ac:dyDescent="0.25">
      <c r="A90" t="s">
        <v>130</v>
      </c>
      <c r="B90" s="5" t="s">
        <v>131</v>
      </c>
      <c r="C90">
        <v>4</v>
      </c>
      <c r="D90" s="3">
        <v>4.2</v>
      </c>
      <c r="E90">
        <v>3.8</v>
      </c>
      <c r="H90">
        <v>1</v>
      </c>
      <c r="J90" s="7"/>
    </row>
    <row r="91" spans="1:10" x14ac:dyDescent="0.25">
      <c r="A91" t="s">
        <v>132</v>
      </c>
      <c r="B91" t="s">
        <v>133</v>
      </c>
      <c r="C91">
        <v>-5</v>
      </c>
      <c r="D91">
        <v>-4.8</v>
      </c>
      <c r="E91">
        <v>-5.2</v>
      </c>
      <c r="F91">
        <v>1</v>
      </c>
      <c r="J91" s="7"/>
    </row>
    <row r="92" spans="1:10" x14ac:dyDescent="0.25">
      <c r="A92" t="s">
        <v>134</v>
      </c>
      <c r="B92" t="s">
        <v>135</v>
      </c>
      <c r="C92">
        <v>5</v>
      </c>
      <c r="D92">
        <v>6</v>
      </c>
      <c r="E92">
        <v>4</v>
      </c>
      <c r="H92">
        <v>1</v>
      </c>
      <c r="J92" s="7"/>
    </row>
    <row r="93" spans="1:10" ht="60" x14ac:dyDescent="0.25">
      <c r="A93" t="s">
        <v>141</v>
      </c>
      <c r="B93" t="s">
        <v>43</v>
      </c>
      <c r="C93">
        <v>-2</v>
      </c>
      <c r="I93">
        <v>1</v>
      </c>
      <c r="J93" s="5" t="s">
        <v>142</v>
      </c>
    </row>
    <row r="94" spans="1:10" ht="19.5" customHeight="1" x14ac:dyDescent="0.25">
      <c r="A94" s="6" t="s">
        <v>143</v>
      </c>
      <c r="B94" s="6" t="s">
        <v>148</v>
      </c>
      <c r="C94">
        <v>-1.53</v>
      </c>
      <c r="I94">
        <v>1</v>
      </c>
      <c r="J94" s="7" t="s">
        <v>151</v>
      </c>
    </row>
    <row r="95" spans="1:10" x14ac:dyDescent="0.25">
      <c r="A95" t="s">
        <v>150</v>
      </c>
      <c r="B95" t="s">
        <v>149</v>
      </c>
      <c r="C95">
        <v>-1.93</v>
      </c>
      <c r="I95">
        <v>1</v>
      </c>
      <c r="J95" s="7"/>
    </row>
    <row r="96" spans="1:10" x14ac:dyDescent="0.25">
      <c r="A96" s="6" t="s">
        <v>144</v>
      </c>
      <c r="B96" t="s">
        <v>145</v>
      </c>
      <c r="C96">
        <v>-1.61</v>
      </c>
      <c r="I96">
        <v>1</v>
      </c>
      <c r="J96" s="7"/>
    </row>
    <row r="97" spans="1:10" x14ac:dyDescent="0.25">
      <c r="A97" s="6" t="s">
        <v>147</v>
      </c>
      <c r="B97" t="s">
        <v>146</v>
      </c>
      <c r="C97">
        <v>-1.98</v>
      </c>
      <c r="I97">
        <v>1</v>
      </c>
      <c r="J97" s="7"/>
    </row>
    <row r="98" spans="1:10" x14ac:dyDescent="0.25">
      <c r="A98" t="s">
        <v>20</v>
      </c>
      <c r="B98" t="s">
        <v>21</v>
      </c>
      <c r="C98">
        <v>2.5</v>
      </c>
      <c r="D98">
        <v>2.7</v>
      </c>
      <c r="E98">
        <v>2.2999999999999998</v>
      </c>
      <c r="F98">
        <v>1</v>
      </c>
      <c r="J98" s="7"/>
    </row>
    <row r="99" spans="1:10" x14ac:dyDescent="0.25">
      <c r="A99" t="s">
        <v>152</v>
      </c>
      <c r="B99" t="s">
        <v>153</v>
      </c>
      <c r="C99">
        <v>0.2</v>
      </c>
      <c r="D99">
        <v>0.3</v>
      </c>
      <c r="E99">
        <v>0.1</v>
      </c>
      <c r="H99">
        <v>1</v>
      </c>
      <c r="J99" s="7"/>
    </row>
    <row r="100" spans="1:10" x14ac:dyDescent="0.25">
      <c r="A100" t="s">
        <v>154</v>
      </c>
      <c r="B100" t="s">
        <v>155</v>
      </c>
      <c r="C100">
        <v>-3.5</v>
      </c>
      <c r="D100">
        <v>-3</v>
      </c>
      <c r="E100">
        <v>-4</v>
      </c>
      <c r="F100">
        <v>1</v>
      </c>
      <c r="J100" s="7"/>
    </row>
    <row r="101" spans="1:10" x14ac:dyDescent="0.25">
      <c r="A101" t="s">
        <v>156</v>
      </c>
      <c r="B101" t="s">
        <v>157</v>
      </c>
      <c r="C101">
        <v>-2.4</v>
      </c>
      <c r="D101">
        <v>-2.2000000000000002</v>
      </c>
      <c r="E101">
        <v>-2.6</v>
      </c>
      <c r="F101">
        <v>1</v>
      </c>
      <c r="J101" s="7"/>
    </row>
    <row r="102" spans="1:10" x14ac:dyDescent="0.25">
      <c r="A102" t="s">
        <v>158</v>
      </c>
      <c r="B102" t="s">
        <v>159</v>
      </c>
      <c r="C102">
        <v>-0.9</v>
      </c>
      <c r="D102">
        <v>-0.8</v>
      </c>
      <c r="E102">
        <v>-1</v>
      </c>
      <c r="F102">
        <v>1</v>
      </c>
      <c r="J102" s="7"/>
    </row>
    <row r="103" spans="1:10" x14ac:dyDescent="0.25">
      <c r="A103" t="s">
        <v>160</v>
      </c>
      <c r="B103" t="s">
        <v>161</v>
      </c>
      <c r="C103">
        <v>-2.2999999999999998</v>
      </c>
      <c r="D103">
        <v>-2.1</v>
      </c>
      <c r="E103">
        <v>-2.5</v>
      </c>
      <c r="F103">
        <v>1</v>
      </c>
      <c r="J103" s="7"/>
    </row>
    <row r="104" spans="1:10" x14ac:dyDescent="0.25">
      <c r="A104" t="s">
        <v>63</v>
      </c>
      <c r="B104" t="s">
        <v>64</v>
      </c>
      <c r="C104">
        <v>0.309</v>
      </c>
      <c r="H104">
        <v>1</v>
      </c>
      <c r="J104" s="7" t="s">
        <v>174</v>
      </c>
    </row>
    <row r="105" spans="1:10" x14ac:dyDescent="0.25">
      <c r="A105" t="s">
        <v>92</v>
      </c>
      <c r="B105" t="s">
        <v>93</v>
      </c>
      <c r="C105">
        <v>1.1519999999999999</v>
      </c>
      <c r="H105">
        <v>1</v>
      </c>
      <c r="J105" s="7"/>
    </row>
    <row r="106" spans="1:10" x14ac:dyDescent="0.25">
      <c r="A106" t="s">
        <v>167</v>
      </c>
      <c r="B106" t="s">
        <v>168</v>
      </c>
      <c r="C106">
        <v>1.0369999999999999</v>
      </c>
      <c r="H106">
        <v>1</v>
      </c>
      <c r="J106" s="7"/>
    </row>
    <row r="107" spans="1:10" x14ac:dyDescent="0.25">
      <c r="A107" t="s">
        <v>169</v>
      </c>
      <c r="B107" t="s">
        <v>170</v>
      </c>
      <c r="C107">
        <v>0.115</v>
      </c>
      <c r="H107">
        <v>1</v>
      </c>
      <c r="J107" s="7"/>
    </row>
    <row r="108" spans="1:10" x14ac:dyDescent="0.25">
      <c r="A108" t="s">
        <v>162</v>
      </c>
      <c r="B108" t="s">
        <v>171</v>
      </c>
      <c r="C108">
        <v>1.651</v>
      </c>
      <c r="H108">
        <v>1</v>
      </c>
      <c r="J108" s="7"/>
    </row>
    <row r="109" spans="1:10" x14ac:dyDescent="0.25">
      <c r="A109" t="s">
        <v>172</v>
      </c>
      <c r="B109" t="s">
        <v>173</v>
      </c>
      <c r="C109">
        <v>2.5499999999999998</v>
      </c>
      <c r="H109">
        <v>1</v>
      </c>
      <c r="J109" s="7"/>
    </row>
    <row r="110" spans="1:10" x14ac:dyDescent="0.25">
      <c r="A110" t="s">
        <v>17</v>
      </c>
      <c r="B110" t="s">
        <v>18</v>
      </c>
      <c r="C110">
        <v>-0.92</v>
      </c>
      <c r="F110">
        <v>1</v>
      </c>
      <c r="J110" s="7"/>
    </row>
    <row r="111" spans="1:10" x14ac:dyDescent="0.25">
      <c r="A111" t="s">
        <v>175</v>
      </c>
      <c r="B111" t="s">
        <v>176</v>
      </c>
      <c r="C111">
        <v>-15.6</v>
      </c>
      <c r="D111">
        <f>C111+6.9</f>
        <v>-8.6999999999999993</v>
      </c>
      <c r="E111">
        <f>C111-6.9</f>
        <v>-22.5</v>
      </c>
      <c r="H111">
        <v>1</v>
      </c>
      <c r="J111" s="7" t="s">
        <v>187</v>
      </c>
    </row>
    <row r="112" spans="1:10" x14ac:dyDescent="0.25">
      <c r="A112" t="s">
        <v>177</v>
      </c>
      <c r="B112" t="s">
        <v>178</v>
      </c>
      <c r="C112">
        <v>-2</v>
      </c>
      <c r="D112">
        <f>C112+0.8</f>
        <v>-1.2</v>
      </c>
      <c r="E112">
        <f>C112-0.8</f>
        <v>-2.8</v>
      </c>
      <c r="H112">
        <v>1</v>
      </c>
      <c r="J112" s="7"/>
    </row>
    <row r="113" spans="1:10" x14ac:dyDescent="0.25">
      <c r="A113" t="s">
        <v>179</v>
      </c>
      <c r="B113" t="s">
        <v>180</v>
      </c>
      <c r="C113">
        <v>-0.9</v>
      </c>
      <c r="D113">
        <f>-0.9+0.1</f>
        <v>-0.8</v>
      </c>
      <c r="E113">
        <f>-0.9-0.1</f>
        <v>-1</v>
      </c>
      <c r="G113">
        <v>1</v>
      </c>
      <c r="J113" s="7"/>
    </row>
    <row r="114" spans="1:10" x14ac:dyDescent="0.25">
      <c r="A114" t="s">
        <v>181</v>
      </c>
      <c r="B114" t="s">
        <v>182</v>
      </c>
      <c r="C114">
        <v>-0.6</v>
      </c>
      <c r="G114">
        <v>1</v>
      </c>
      <c r="J114" s="7"/>
    </row>
    <row r="115" spans="1:10" x14ac:dyDescent="0.25">
      <c r="A115" t="s">
        <v>184</v>
      </c>
      <c r="B115" t="s">
        <v>185</v>
      </c>
      <c r="C115">
        <v>1.6</v>
      </c>
      <c r="D115">
        <f>1.6+0.5</f>
        <v>2.1</v>
      </c>
      <c r="E115">
        <f>1.6-0.5</f>
        <v>1.1000000000000001</v>
      </c>
      <c r="G115">
        <v>1</v>
      </c>
      <c r="J115" s="7"/>
    </row>
    <row r="116" spans="1:10" x14ac:dyDescent="0.25">
      <c r="A116" t="s">
        <v>183</v>
      </c>
      <c r="B116" t="s">
        <v>186</v>
      </c>
      <c r="C116">
        <v>7.7</v>
      </c>
      <c r="D116">
        <f>7.7+4.5</f>
        <v>12.2</v>
      </c>
      <c r="E116">
        <f>7.7-4.5</f>
        <v>3.2</v>
      </c>
      <c r="G116">
        <v>1</v>
      </c>
      <c r="J116" s="7"/>
    </row>
    <row r="117" spans="1:10" x14ac:dyDescent="0.25">
      <c r="A117" t="s">
        <v>189</v>
      </c>
      <c r="B117" t="s">
        <v>188</v>
      </c>
      <c r="C117">
        <v>1.1000000000000001</v>
      </c>
      <c r="H117">
        <v>1</v>
      </c>
      <c r="J117" s="7" t="s">
        <v>235</v>
      </c>
    </row>
    <row r="118" spans="1:10" x14ac:dyDescent="0.25">
      <c r="A118" t="s">
        <v>190</v>
      </c>
      <c r="B118" t="s">
        <v>191</v>
      </c>
      <c r="C118">
        <v>0.3</v>
      </c>
      <c r="H118">
        <v>1</v>
      </c>
      <c r="J118" s="7"/>
    </row>
    <row r="119" spans="1:10" x14ac:dyDescent="0.25">
      <c r="A119" t="s">
        <v>193</v>
      </c>
      <c r="B119" t="s">
        <v>192</v>
      </c>
      <c r="C119">
        <v>-0.1</v>
      </c>
      <c r="H119">
        <v>1</v>
      </c>
      <c r="J119" s="7"/>
    </row>
    <row r="120" spans="1:10" x14ac:dyDescent="0.25">
      <c r="A120" t="s">
        <v>194</v>
      </c>
      <c r="B120" t="s">
        <v>195</v>
      </c>
      <c r="C120">
        <v>1</v>
      </c>
      <c r="H120">
        <v>1</v>
      </c>
      <c r="J120" s="7"/>
    </row>
    <row r="121" spans="1:10" x14ac:dyDescent="0.25">
      <c r="A121" t="s">
        <v>190</v>
      </c>
      <c r="B121" t="s">
        <v>196</v>
      </c>
      <c r="C121">
        <v>-1.4</v>
      </c>
      <c r="H121">
        <v>1</v>
      </c>
      <c r="J121" s="7"/>
    </row>
    <row r="122" spans="1:10" x14ac:dyDescent="0.25">
      <c r="A122" t="s">
        <v>197</v>
      </c>
      <c r="B122" t="s">
        <v>198</v>
      </c>
      <c r="C122">
        <v>-1.1000000000000001</v>
      </c>
      <c r="H122">
        <v>1</v>
      </c>
      <c r="J122" s="7"/>
    </row>
    <row r="123" spans="1:10" x14ac:dyDescent="0.25">
      <c r="A123" t="s">
        <v>199</v>
      </c>
      <c r="B123" t="s">
        <v>200</v>
      </c>
      <c r="C123">
        <v>-1.8</v>
      </c>
      <c r="H123">
        <v>1</v>
      </c>
      <c r="J123" s="7"/>
    </row>
    <row r="124" spans="1:10" x14ac:dyDescent="0.25">
      <c r="A124" s="6" t="s">
        <v>202</v>
      </c>
      <c r="B124" t="s">
        <v>201</v>
      </c>
      <c r="C124">
        <v>-1.3</v>
      </c>
      <c r="I124">
        <v>1</v>
      </c>
      <c r="J124" s="7"/>
    </row>
    <row r="125" spans="1:10" x14ac:dyDescent="0.25">
      <c r="A125" s="6" t="s">
        <v>203</v>
      </c>
      <c r="B125" t="s">
        <v>210</v>
      </c>
      <c r="C125">
        <v>-1.5</v>
      </c>
      <c r="I125">
        <v>1</v>
      </c>
      <c r="J125" s="7"/>
    </row>
    <row r="126" spans="1:10" x14ac:dyDescent="0.25">
      <c r="A126" s="6" t="s">
        <v>204</v>
      </c>
      <c r="B126" t="s">
        <v>207</v>
      </c>
      <c r="C126">
        <v>-1.1000000000000001</v>
      </c>
      <c r="I126">
        <v>1</v>
      </c>
      <c r="J126" s="7"/>
    </row>
    <row r="127" spans="1:10" x14ac:dyDescent="0.25">
      <c r="A127" s="6" t="s">
        <v>205</v>
      </c>
      <c r="B127" t="s">
        <v>206</v>
      </c>
      <c r="C127">
        <v>-1.6</v>
      </c>
      <c r="I127">
        <v>1</v>
      </c>
      <c r="J127" s="7"/>
    </row>
    <row r="128" spans="1:10" x14ac:dyDescent="0.25">
      <c r="A128" t="s">
        <v>203</v>
      </c>
      <c r="B128" t="s">
        <v>207</v>
      </c>
      <c r="C128">
        <v>-1.5</v>
      </c>
      <c r="I128">
        <v>1</v>
      </c>
      <c r="J128" s="7"/>
    </row>
    <row r="129" spans="1:10" x14ac:dyDescent="0.25">
      <c r="A129" s="6" t="s">
        <v>208</v>
      </c>
      <c r="B129" s="6" t="s">
        <v>209</v>
      </c>
      <c r="C129">
        <v>-1</v>
      </c>
      <c r="I129">
        <v>1</v>
      </c>
      <c r="J129" s="7"/>
    </row>
    <row r="130" spans="1:10" x14ac:dyDescent="0.25">
      <c r="A130" s="6" t="s">
        <v>211</v>
      </c>
      <c r="B130" t="s">
        <v>212</v>
      </c>
      <c r="C130">
        <v>-0.8</v>
      </c>
      <c r="I130">
        <v>1</v>
      </c>
      <c r="J130" s="7"/>
    </row>
    <row r="131" spans="1:10" x14ac:dyDescent="0.25">
      <c r="A131" s="6" t="s">
        <v>213</v>
      </c>
      <c r="B131" t="s">
        <v>214</v>
      </c>
      <c r="C131">
        <v>-0.2</v>
      </c>
      <c r="I131">
        <v>1</v>
      </c>
      <c r="J131" s="7"/>
    </row>
    <row r="132" spans="1:10" x14ac:dyDescent="0.25">
      <c r="A132" s="6" t="s">
        <v>215</v>
      </c>
      <c r="B132" t="s">
        <v>216</v>
      </c>
      <c r="C132">
        <v>-3.3</v>
      </c>
      <c r="I132">
        <v>1</v>
      </c>
      <c r="J132" s="7"/>
    </row>
    <row r="133" spans="1:10" x14ac:dyDescent="0.25">
      <c r="A133" s="6" t="s">
        <v>217</v>
      </c>
      <c r="B133" t="s">
        <v>218</v>
      </c>
      <c r="C133">
        <v>-2.5</v>
      </c>
      <c r="I133">
        <v>1</v>
      </c>
      <c r="J133" s="7"/>
    </row>
    <row r="134" spans="1:10" x14ac:dyDescent="0.25">
      <c r="A134" s="6" t="s">
        <v>219</v>
      </c>
      <c r="B134" t="s">
        <v>220</v>
      </c>
      <c r="C134">
        <v>-2.5</v>
      </c>
      <c r="I134">
        <v>1</v>
      </c>
      <c r="J134" s="7"/>
    </row>
    <row r="135" spans="1:10" x14ac:dyDescent="0.25">
      <c r="A135" s="6" t="s">
        <v>221</v>
      </c>
      <c r="B135" t="s">
        <v>222</v>
      </c>
      <c r="C135">
        <v>-1.5</v>
      </c>
      <c r="I135">
        <v>1</v>
      </c>
      <c r="J135" s="7"/>
    </row>
    <row r="136" spans="1:10" x14ac:dyDescent="0.25">
      <c r="A136" s="6" t="s">
        <v>223</v>
      </c>
      <c r="B136" t="s">
        <v>224</v>
      </c>
      <c r="C136">
        <v>-1.9</v>
      </c>
      <c r="I136">
        <v>1</v>
      </c>
      <c r="J136" s="7"/>
    </row>
    <row r="137" spans="1:10" x14ac:dyDescent="0.25">
      <c r="A137" s="6" t="s">
        <v>225</v>
      </c>
      <c r="B137" t="s">
        <v>226</v>
      </c>
      <c r="C137">
        <v>-1.7</v>
      </c>
      <c r="I137">
        <v>1</v>
      </c>
      <c r="J137" s="7"/>
    </row>
    <row r="138" spans="1:10" x14ac:dyDescent="0.25">
      <c r="A138" s="6" t="s">
        <v>227</v>
      </c>
      <c r="B138" t="s">
        <v>228</v>
      </c>
      <c r="C138">
        <v>-1.1000000000000001</v>
      </c>
      <c r="I138">
        <v>1</v>
      </c>
      <c r="J138" s="7"/>
    </row>
    <row r="139" spans="1:10" x14ac:dyDescent="0.25">
      <c r="A139" s="6" t="s">
        <v>229</v>
      </c>
      <c r="B139" t="s">
        <v>230</v>
      </c>
      <c r="C139">
        <v>0.6</v>
      </c>
      <c r="I139">
        <v>1</v>
      </c>
      <c r="J139" s="7"/>
    </row>
    <row r="140" spans="1:10" x14ac:dyDescent="0.25">
      <c r="A140" s="6" t="s">
        <v>231</v>
      </c>
      <c r="B140" t="s">
        <v>232</v>
      </c>
      <c r="C140">
        <v>0.2</v>
      </c>
      <c r="I140">
        <v>1</v>
      </c>
      <c r="J140" s="7"/>
    </row>
    <row r="141" spans="1:10" x14ac:dyDescent="0.25">
      <c r="A141" s="6" t="s">
        <v>233</v>
      </c>
      <c r="B141" t="s">
        <v>234</v>
      </c>
      <c r="C141">
        <v>1</v>
      </c>
      <c r="I141">
        <v>1</v>
      </c>
      <c r="J141" s="7"/>
    </row>
    <row r="142" spans="1:10" x14ac:dyDescent="0.25">
      <c r="A142" s="6" t="s">
        <v>160</v>
      </c>
      <c r="B142" t="s">
        <v>161</v>
      </c>
      <c r="C142">
        <v>-2.63</v>
      </c>
      <c r="F142">
        <v>1</v>
      </c>
      <c r="J142" s="7" t="s">
        <v>243</v>
      </c>
    </row>
    <row r="143" spans="1:10" x14ac:dyDescent="0.25">
      <c r="A143" t="s">
        <v>17</v>
      </c>
      <c r="B143" t="s">
        <v>18</v>
      </c>
      <c r="C143">
        <v>-1.1499999999999999</v>
      </c>
      <c r="F143">
        <v>1</v>
      </c>
      <c r="J143" s="7"/>
    </row>
    <row r="144" spans="1:10" x14ac:dyDescent="0.25">
      <c r="A144" t="s">
        <v>236</v>
      </c>
      <c r="B144" t="s">
        <v>237</v>
      </c>
      <c r="C144">
        <v>-5.7</v>
      </c>
      <c r="F144">
        <v>1</v>
      </c>
      <c r="J144" s="7"/>
    </row>
    <row r="145" spans="1:10" x14ac:dyDescent="0.25">
      <c r="A145" t="s">
        <v>14</v>
      </c>
      <c r="B145" t="s">
        <v>15</v>
      </c>
      <c r="C145">
        <v>-2.97</v>
      </c>
      <c r="I145">
        <v>1</v>
      </c>
      <c r="J145" s="7"/>
    </row>
    <row r="146" spans="1:10" x14ac:dyDescent="0.25">
      <c r="A146" t="s">
        <v>20</v>
      </c>
      <c r="B146" t="s">
        <v>21</v>
      </c>
      <c r="C146">
        <v>3.5</v>
      </c>
      <c r="F146">
        <v>1</v>
      </c>
      <c r="J146" s="7"/>
    </row>
    <row r="147" spans="1:10" x14ac:dyDescent="0.25">
      <c r="A147" t="s">
        <v>42</v>
      </c>
      <c r="B147" t="s">
        <v>238</v>
      </c>
      <c r="C147">
        <v>-1.65</v>
      </c>
      <c r="I147">
        <v>1</v>
      </c>
      <c r="J147" s="7"/>
    </row>
    <row r="148" spans="1:10" x14ac:dyDescent="0.25">
      <c r="A148" t="s">
        <v>239</v>
      </c>
      <c r="B148" t="s">
        <v>240</v>
      </c>
      <c r="C148">
        <v>-0.53</v>
      </c>
      <c r="D148">
        <f>-0.53+0.2</f>
        <v>-0.33</v>
      </c>
      <c r="E148">
        <f>-0.53-0.2</f>
        <v>-0.73</v>
      </c>
      <c r="G148">
        <v>1</v>
      </c>
      <c r="J148" s="7"/>
    </row>
    <row r="149" spans="1:10" x14ac:dyDescent="0.25">
      <c r="A149" t="s">
        <v>242</v>
      </c>
      <c r="B149" t="s">
        <v>241</v>
      </c>
      <c r="C149">
        <v>-5.3</v>
      </c>
      <c r="D149">
        <f>-5.3+1.3</f>
        <v>-4</v>
      </c>
      <c r="E149">
        <f>-5.3-1.3</f>
        <v>-6.6</v>
      </c>
      <c r="G149">
        <v>1</v>
      </c>
      <c r="J149" s="7"/>
    </row>
    <row r="150" spans="1:10" ht="60" x14ac:dyDescent="0.25">
      <c r="A150" t="s">
        <v>244</v>
      </c>
      <c r="B150" t="s">
        <v>245</v>
      </c>
      <c r="C150">
        <v>-3.1E-2</v>
      </c>
      <c r="H150">
        <v>1</v>
      </c>
      <c r="J150" s="5" t="s">
        <v>246</v>
      </c>
    </row>
    <row r="151" spans="1:10" ht="75" x14ac:dyDescent="0.25">
      <c r="A151" t="s">
        <v>248</v>
      </c>
      <c r="B151" t="s">
        <v>249</v>
      </c>
      <c r="C151">
        <v>3.1399999999999997E-2</v>
      </c>
      <c r="I151">
        <v>1</v>
      </c>
      <c r="J151" s="5" t="s">
        <v>247</v>
      </c>
    </row>
    <row r="152" spans="1:10" x14ac:dyDescent="0.25">
      <c r="A152" t="s">
        <v>250</v>
      </c>
      <c r="B152" t="s">
        <v>253</v>
      </c>
      <c r="C152">
        <v>0.5</v>
      </c>
      <c r="D152">
        <f>0.5+0.015</f>
        <v>0.51500000000000001</v>
      </c>
      <c r="E152">
        <f>0.5-0.015</f>
        <v>0.48499999999999999</v>
      </c>
      <c r="H152">
        <v>1</v>
      </c>
      <c r="J152" s="7" t="s">
        <v>256</v>
      </c>
    </row>
    <row r="153" spans="1:10" x14ac:dyDescent="0.25">
      <c r="A153" t="s">
        <v>251</v>
      </c>
      <c r="B153" t="s">
        <v>254</v>
      </c>
      <c r="C153">
        <v>-0.17</v>
      </c>
      <c r="D153">
        <f>-0.17+0.58</f>
        <v>0.40999999999999992</v>
      </c>
      <c r="E153">
        <f>-0.17-0.058</f>
        <v>-0.22800000000000001</v>
      </c>
      <c r="H153">
        <v>1</v>
      </c>
      <c r="J153" s="7"/>
    </row>
    <row r="154" spans="1:10" ht="30" customHeight="1" x14ac:dyDescent="0.25">
      <c r="A154" t="s">
        <v>252</v>
      </c>
      <c r="B154" t="s">
        <v>255</v>
      </c>
      <c r="C154">
        <v>-1.43</v>
      </c>
      <c r="D154">
        <f>-1.43+0.42</f>
        <v>-1.01</v>
      </c>
      <c r="E154">
        <f>-1.43-0.42</f>
        <v>-1.8499999999999999</v>
      </c>
      <c r="H154">
        <v>1</v>
      </c>
      <c r="J154" s="7"/>
    </row>
    <row r="155" spans="1:10" ht="75" x14ac:dyDescent="0.25">
      <c r="A155" t="s">
        <v>141</v>
      </c>
      <c r="B155" t="s">
        <v>7</v>
      </c>
      <c r="C155">
        <v>-2.29</v>
      </c>
      <c r="I155">
        <v>1</v>
      </c>
      <c r="J155" s="5" t="s">
        <v>257</v>
      </c>
    </row>
    <row r="156" spans="1:10" ht="60" x14ac:dyDescent="0.25">
      <c r="A156" t="s">
        <v>258</v>
      </c>
      <c r="B156" t="s">
        <v>259</v>
      </c>
      <c r="C156">
        <v>-0.7</v>
      </c>
      <c r="H156">
        <v>1</v>
      </c>
      <c r="J156" s="5" t="s">
        <v>260</v>
      </c>
    </row>
    <row r="157" spans="1:10" x14ac:dyDescent="0.25">
      <c r="A157" t="s">
        <v>261</v>
      </c>
      <c r="B157" t="s">
        <v>262</v>
      </c>
      <c r="C157">
        <v>-2.46</v>
      </c>
      <c r="D157">
        <f>-2.46+0.35</f>
        <v>-2.11</v>
      </c>
      <c r="E157">
        <f>-2.46-0.35</f>
        <v>-2.81</v>
      </c>
      <c r="F157">
        <v>1</v>
      </c>
      <c r="J157" s="7" t="s">
        <v>269</v>
      </c>
    </row>
    <row r="158" spans="1:10" x14ac:dyDescent="0.25">
      <c r="A158" t="s">
        <v>263</v>
      </c>
      <c r="B158" t="s">
        <v>264</v>
      </c>
      <c r="C158">
        <v>-2.97</v>
      </c>
      <c r="D158">
        <f>-2.97+0.25</f>
        <v>-2.72</v>
      </c>
      <c r="E158">
        <f>-2.97-0.25</f>
        <v>-3.22</v>
      </c>
      <c r="I158">
        <v>1</v>
      </c>
      <c r="J158" s="7"/>
    </row>
    <row r="159" spans="1:10" x14ac:dyDescent="0.25">
      <c r="A159" t="s">
        <v>265</v>
      </c>
      <c r="B159" t="s">
        <v>266</v>
      </c>
      <c r="C159">
        <v>-0.78400000000000003</v>
      </c>
      <c r="D159">
        <f>-0.784+0.309</f>
        <v>-0.47500000000000003</v>
      </c>
      <c r="E159">
        <f>-0.784-0.309</f>
        <v>-1.093</v>
      </c>
      <c r="I159">
        <v>1</v>
      </c>
      <c r="J159" s="7"/>
    </row>
    <row r="160" spans="1:10" x14ac:dyDescent="0.25">
      <c r="A160" t="s">
        <v>20</v>
      </c>
      <c r="B160" t="s">
        <v>21</v>
      </c>
      <c r="C160">
        <v>2.42</v>
      </c>
      <c r="D160">
        <f>2.42+0.16</f>
        <v>2.58</v>
      </c>
      <c r="E160">
        <f>2.42-0.16</f>
        <v>2.2599999999999998</v>
      </c>
      <c r="F160">
        <v>1</v>
      </c>
      <c r="J160" s="7"/>
    </row>
    <row r="161" spans="1:10" x14ac:dyDescent="0.25">
      <c r="A161" t="s">
        <v>267</v>
      </c>
      <c r="B161" t="s">
        <v>268</v>
      </c>
      <c r="C161">
        <v>-0.93300000000000005</v>
      </c>
      <c r="D161">
        <f>-0.933+0.103</f>
        <v>-0.83000000000000007</v>
      </c>
      <c r="E161">
        <f>-0.933-0.103</f>
        <v>-1.036</v>
      </c>
      <c r="F161">
        <v>1</v>
      </c>
      <c r="J161" s="7"/>
    </row>
    <row r="162" spans="1:10" x14ac:dyDescent="0.25">
      <c r="A162" t="s">
        <v>270</v>
      </c>
      <c r="B162" t="s">
        <v>272</v>
      </c>
      <c r="C162">
        <v>2.8</v>
      </c>
      <c r="H162">
        <v>1</v>
      </c>
      <c r="J162" s="7" t="s">
        <v>274</v>
      </c>
    </row>
    <row r="163" spans="1:10" x14ac:dyDescent="0.25">
      <c r="A163" t="s">
        <v>271</v>
      </c>
      <c r="B163" t="s">
        <v>273</v>
      </c>
      <c r="C163">
        <v>-2.95</v>
      </c>
      <c r="H163">
        <v>1</v>
      </c>
      <c r="J163" s="7"/>
    </row>
    <row r="164" spans="1:10" x14ac:dyDescent="0.25">
      <c r="A164" t="s">
        <v>275</v>
      </c>
      <c r="B164" t="s">
        <v>276</v>
      </c>
      <c r="C164">
        <v>-2.4700000000000002</v>
      </c>
      <c r="I164">
        <v>1</v>
      </c>
      <c r="J164" s="7" t="s">
        <v>284</v>
      </c>
    </row>
    <row r="165" spans="1:10" x14ac:dyDescent="0.25">
      <c r="A165" t="s">
        <v>277</v>
      </c>
      <c r="B165" t="s">
        <v>278</v>
      </c>
      <c r="C165">
        <v>-2.48</v>
      </c>
      <c r="I165">
        <v>1</v>
      </c>
      <c r="J165" s="7"/>
    </row>
    <row r="166" spans="1:10" x14ac:dyDescent="0.25">
      <c r="A166" t="s">
        <v>279</v>
      </c>
      <c r="B166" t="s">
        <v>280</v>
      </c>
      <c r="C166">
        <v>-2.2200000000000002</v>
      </c>
      <c r="I166">
        <v>1</v>
      </c>
      <c r="J166" s="7"/>
    </row>
    <row r="167" spans="1:10" x14ac:dyDescent="0.25">
      <c r="A167" t="s">
        <v>281</v>
      </c>
      <c r="B167" t="s">
        <v>43</v>
      </c>
      <c r="C167">
        <v>-2.15</v>
      </c>
      <c r="I167">
        <v>1</v>
      </c>
      <c r="J167" s="7"/>
    </row>
    <row r="168" spans="1:10" x14ac:dyDescent="0.25">
      <c r="A168" t="s">
        <v>282</v>
      </c>
      <c r="B168" t="s">
        <v>283</v>
      </c>
      <c r="C168">
        <v>-2.89</v>
      </c>
      <c r="I168">
        <v>1</v>
      </c>
      <c r="J168" s="7"/>
    </row>
    <row r="169" spans="1:10" x14ac:dyDescent="0.25">
      <c r="A169" t="s">
        <v>285</v>
      </c>
      <c r="B169" t="s">
        <v>286</v>
      </c>
      <c r="C169">
        <v>0.5</v>
      </c>
      <c r="H169">
        <v>1</v>
      </c>
      <c r="J169" s="7" t="s">
        <v>294</v>
      </c>
    </row>
    <row r="170" spans="1:10" x14ac:dyDescent="0.25">
      <c r="A170" t="s">
        <v>288</v>
      </c>
      <c r="B170" t="s">
        <v>289</v>
      </c>
      <c r="C170">
        <v>-1.5</v>
      </c>
      <c r="H170">
        <v>1</v>
      </c>
      <c r="J170" s="7"/>
    </row>
    <row r="171" spans="1:10" x14ac:dyDescent="0.25">
      <c r="A171" t="s">
        <v>290</v>
      </c>
      <c r="B171" t="s">
        <v>291</v>
      </c>
      <c r="C171">
        <v>-4.5</v>
      </c>
      <c r="H171">
        <v>1</v>
      </c>
      <c r="J171" s="7"/>
    </row>
    <row r="172" spans="1:10" x14ac:dyDescent="0.25">
      <c r="A172" t="s">
        <v>292</v>
      </c>
      <c r="B172" t="s">
        <v>293</v>
      </c>
      <c r="C172">
        <v>-23.5</v>
      </c>
      <c r="H172">
        <v>1</v>
      </c>
      <c r="J172" s="7"/>
    </row>
    <row r="173" spans="1:10" x14ac:dyDescent="0.25">
      <c r="A173" t="s">
        <v>295</v>
      </c>
      <c r="B173" t="s">
        <v>66</v>
      </c>
      <c r="C173">
        <v>-0.5</v>
      </c>
      <c r="H173">
        <v>1</v>
      </c>
      <c r="J173" s="7" t="s">
        <v>298</v>
      </c>
    </row>
    <row r="174" spans="1:10" ht="15.75" thickBot="1" x14ac:dyDescent="0.3">
      <c r="A174" t="s">
        <v>296</v>
      </c>
      <c r="B174" t="s">
        <v>297</v>
      </c>
      <c r="C174">
        <v>-0.2</v>
      </c>
      <c r="H174">
        <v>1</v>
      </c>
      <c r="J174" s="7"/>
    </row>
    <row r="175" spans="1:10" ht="60" x14ac:dyDescent="0.25">
      <c r="A175" t="s">
        <v>299</v>
      </c>
      <c r="B175" s="2" t="s">
        <v>300</v>
      </c>
      <c r="C175">
        <v>-7.4</v>
      </c>
      <c r="D175">
        <f>-7.4+1.3</f>
        <v>-6.1000000000000005</v>
      </c>
      <c r="E175">
        <f>-7.4-1.3</f>
        <v>-8.7000000000000011</v>
      </c>
      <c r="H175">
        <v>1</v>
      </c>
      <c r="J175" s="5" t="s">
        <v>301</v>
      </c>
    </row>
    <row r="176" spans="1:10" x14ac:dyDescent="0.25">
      <c r="A176" t="s">
        <v>306</v>
      </c>
      <c r="B176" t="s">
        <v>302</v>
      </c>
      <c r="C176">
        <v>-1.85</v>
      </c>
      <c r="F176">
        <v>1</v>
      </c>
      <c r="J176" s="7" t="s">
        <v>330</v>
      </c>
    </row>
    <row r="177" spans="1:10" x14ac:dyDescent="0.25">
      <c r="A177" t="s">
        <v>303</v>
      </c>
      <c r="B177" t="s">
        <v>157</v>
      </c>
      <c r="C177">
        <v>-2.2999999999999998</v>
      </c>
      <c r="F177">
        <v>1</v>
      </c>
      <c r="J177" s="7"/>
    </row>
    <row r="178" spans="1:10" x14ac:dyDescent="0.25">
      <c r="A178" t="s">
        <v>305</v>
      </c>
      <c r="B178" t="s">
        <v>304</v>
      </c>
      <c r="C178">
        <v>-2.75</v>
      </c>
      <c r="F178">
        <v>1</v>
      </c>
      <c r="J178" s="7"/>
    </row>
    <row r="179" spans="1:10" x14ac:dyDescent="0.25">
      <c r="A179" t="s">
        <v>307</v>
      </c>
      <c r="B179" t="s">
        <v>310</v>
      </c>
      <c r="C179">
        <v>-2.5499999999999998</v>
      </c>
      <c r="F179">
        <v>1</v>
      </c>
      <c r="J179" s="7"/>
    </row>
    <row r="180" spans="1:10" x14ac:dyDescent="0.25">
      <c r="A180" t="s">
        <v>308</v>
      </c>
      <c r="B180" t="s">
        <v>161</v>
      </c>
      <c r="C180">
        <v>-3</v>
      </c>
      <c r="F180">
        <v>1</v>
      </c>
      <c r="J180" s="7"/>
    </row>
    <row r="181" spans="1:10" x14ac:dyDescent="0.25">
      <c r="A181" t="s">
        <v>309</v>
      </c>
      <c r="B181" t="s">
        <v>311</v>
      </c>
      <c r="C181">
        <v>-3.45</v>
      </c>
      <c r="F181">
        <v>1</v>
      </c>
      <c r="J181" s="7"/>
    </row>
    <row r="182" spans="1:10" x14ac:dyDescent="0.25">
      <c r="A182" t="s">
        <v>313</v>
      </c>
      <c r="B182" t="s">
        <v>315</v>
      </c>
      <c r="C182">
        <v>0.24</v>
      </c>
      <c r="F182">
        <v>1</v>
      </c>
      <c r="J182" s="7"/>
    </row>
    <row r="183" spans="1:10" x14ac:dyDescent="0.25">
      <c r="A183" t="s">
        <v>314</v>
      </c>
      <c r="B183" t="s">
        <v>316</v>
      </c>
      <c r="C183">
        <v>-0.48</v>
      </c>
      <c r="F183">
        <v>1</v>
      </c>
      <c r="J183" s="7"/>
    </row>
    <row r="184" spans="1:10" x14ac:dyDescent="0.25">
      <c r="A184" t="s">
        <v>312</v>
      </c>
      <c r="B184" t="s">
        <v>317</v>
      </c>
      <c r="C184">
        <v>-1.2</v>
      </c>
      <c r="F184">
        <v>1</v>
      </c>
      <c r="J184" s="7"/>
    </row>
    <row r="185" spans="1:10" x14ac:dyDescent="0.25">
      <c r="A185" t="s">
        <v>319</v>
      </c>
      <c r="B185" t="s">
        <v>318</v>
      </c>
      <c r="C185">
        <v>-3.51</v>
      </c>
      <c r="G185">
        <v>1</v>
      </c>
      <c r="J185" s="7"/>
    </row>
    <row r="186" spans="1:10" x14ac:dyDescent="0.25">
      <c r="A186" t="s">
        <v>320</v>
      </c>
      <c r="B186" t="s">
        <v>322</v>
      </c>
      <c r="C186">
        <v>-4.37</v>
      </c>
      <c r="G186">
        <v>1</v>
      </c>
      <c r="J186" s="7"/>
    </row>
    <row r="187" spans="1:10" x14ac:dyDescent="0.25">
      <c r="A187" t="s">
        <v>321</v>
      </c>
      <c r="B187" t="s">
        <v>323</v>
      </c>
      <c r="C187">
        <v>-5.22</v>
      </c>
      <c r="G187">
        <v>1</v>
      </c>
      <c r="J187" s="7"/>
    </row>
    <row r="188" spans="1:10" x14ac:dyDescent="0.25">
      <c r="A188" t="s">
        <v>324</v>
      </c>
      <c r="B188" t="s">
        <v>327</v>
      </c>
      <c r="C188">
        <v>-3.7</v>
      </c>
      <c r="G188">
        <v>1</v>
      </c>
      <c r="J188" s="7"/>
    </row>
    <row r="189" spans="1:10" x14ac:dyDescent="0.25">
      <c r="A189" t="s">
        <v>325</v>
      </c>
      <c r="B189" t="s">
        <v>328</v>
      </c>
      <c r="C189">
        <v>-4.5599999999999996</v>
      </c>
      <c r="G189">
        <v>1</v>
      </c>
      <c r="J189" s="7"/>
    </row>
    <row r="190" spans="1:10" x14ac:dyDescent="0.25">
      <c r="A190" t="s">
        <v>326</v>
      </c>
      <c r="B190" t="s">
        <v>329</v>
      </c>
      <c r="C190">
        <v>-5.41</v>
      </c>
      <c r="G190">
        <v>1</v>
      </c>
      <c r="J190" s="7"/>
    </row>
    <row r="191" spans="1:10" x14ac:dyDescent="0.25">
      <c r="A191" t="s">
        <v>331</v>
      </c>
      <c r="B191" t="s">
        <v>332</v>
      </c>
      <c r="C191">
        <v>-0.48</v>
      </c>
      <c r="F191">
        <v>1</v>
      </c>
      <c r="J191" s="7" t="s">
        <v>343</v>
      </c>
    </row>
    <row r="192" spans="1:10" x14ac:dyDescent="0.25">
      <c r="A192" t="s">
        <v>333</v>
      </c>
      <c r="B192" t="s">
        <v>334</v>
      </c>
      <c r="C192">
        <v>0.48</v>
      </c>
      <c r="F192">
        <v>1</v>
      </c>
      <c r="J192" s="7"/>
    </row>
    <row r="193" spans="1:10" x14ac:dyDescent="0.25">
      <c r="A193" t="s">
        <v>308</v>
      </c>
      <c r="B193" t="s">
        <v>161</v>
      </c>
      <c r="C193">
        <v>-2.6</v>
      </c>
      <c r="F193">
        <v>1</v>
      </c>
      <c r="J193" s="7"/>
    </row>
    <row r="194" spans="1:10" x14ac:dyDescent="0.25">
      <c r="A194" t="s">
        <v>303</v>
      </c>
      <c r="B194" t="s">
        <v>157</v>
      </c>
      <c r="C194">
        <v>-0.8</v>
      </c>
      <c r="F194">
        <v>1</v>
      </c>
      <c r="J194" s="7"/>
    </row>
    <row r="195" spans="1:10" x14ac:dyDescent="0.25">
      <c r="A195" t="s">
        <v>61</v>
      </c>
      <c r="B195" t="s">
        <v>62</v>
      </c>
      <c r="C195">
        <v>1.88</v>
      </c>
      <c r="H195">
        <v>1</v>
      </c>
      <c r="J195" s="7"/>
    </row>
    <row r="196" spans="1:10" x14ac:dyDescent="0.25">
      <c r="A196" t="s">
        <v>63</v>
      </c>
      <c r="B196" t="s">
        <v>64</v>
      </c>
      <c r="C196">
        <v>0.84</v>
      </c>
      <c r="H196">
        <v>1</v>
      </c>
      <c r="J196" s="7"/>
    </row>
    <row r="197" spans="1:10" x14ac:dyDescent="0.25">
      <c r="A197" t="s">
        <v>65</v>
      </c>
      <c r="B197" t="s">
        <v>66</v>
      </c>
      <c r="C197">
        <v>-0.15</v>
      </c>
      <c r="H197">
        <v>1</v>
      </c>
      <c r="J197" s="7"/>
    </row>
    <row r="198" spans="1:10" x14ac:dyDescent="0.25">
      <c r="A198" t="s">
        <v>335</v>
      </c>
      <c r="B198" t="s">
        <v>336</v>
      </c>
      <c r="C198">
        <v>0.33</v>
      </c>
      <c r="H198">
        <v>1</v>
      </c>
      <c r="J198" s="7"/>
    </row>
    <row r="199" spans="1:10" x14ac:dyDescent="0.25">
      <c r="A199" t="s">
        <v>337</v>
      </c>
      <c r="B199" t="s">
        <v>338</v>
      </c>
      <c r="C199">
        <v>1.2</v>
      </c>
      <c r="H199">
        <v>1</v>
      </c>
      <c r="J199" s="7"/>
    </row>
    <row r="200" spans="1:10" x14ac:dyDescent="0.25">
      <c r="A200" t="s">
        <v>339</v>
      </c>
      <c r="B200" t="s">
        <v>340</v>
      </c>
      <c r="C200">
        <v>1.2</v>
      </c>
      <c r="H200">
        <v>1</v>
      </c>
      <c r="J200" s="7"/>
    </row>
    <row r="201" spans="1:10" x14ac:dyDescent="0.25">
      <c r="A201" t="s">
        <v>341</v>
      </c>
      <c r="B201" t="s">
        <v>342</v>
      </c>
      <c r="C201">
        <v>1.2</v>
      </c>
      <c r="H201">
        <v>1</v>
      </c>
      <c r="J201" s="7" t="s">
        <v>284</v>
      </c>
    </row>
    <row r="202" spans="1:10" x14ac:dyDescent="0.25">
      <c r="A202" t="s">
        <v>344</v>
      </c>
      <c r="B202" t="s">
        <v>276</v>
      </c>
      <c r="C202">
        <v>-2.4700000000000002</v>
      </c>
      <c r="I202">
        <v>1</v>
      </c>
      <c r="J202" s="7"/>
    </row>
    <row r="203" spans="1:10" x14ac:dyDescent="0.25">
      <c r="A203" t="s">
        <v>345</v>
      </c>
      <c r="B203" t="s">
        <v>278</v>
      </c>
      <c r="C203">
        <v>-2.48</v>
      </c>
      <c r="I203">
        <v>1</v>
      </c>
      <c r="J203" s="7"/>
    </row>
    <row r="204" spans="1:10" x14ac:dyDescent="0.25">
      <c r="A204" t="s">
        <v>346</v>
      </c>
      <c r="B204" t="s">
        <v>276</v>
      </c>
      <c r="C204">
        <v>-2.2200000000000002</v>
      </c>
      <c r="I204">
        <v>1</v>
      </c>
      <c r="J204" s="7"/>
    </row>
    <row r="205" spans="1:10" x14ac:dyDescent="0.25">
      <c r="A205" t="s">
        <v>141</v>
      </c>
      <c r="B205" t="s">
        <v>43</v>
      </c>
      <c r="C205">
        <v>-2.15</v>
      </c>
      <c r="I205">
        <v>1</v>
      </c>
      <c r="J205" s="7"/>
    </row>
    <row r="206" spans="1:10" x14ac:dyDescent="0.25">
      <c r="A206" t="s">
        <v>347</v>
      </c>
      <c r="B206" t="s">
        <v>283</v>
      </c>
      <c r="C206">
        <v>-2.89</v>
      </c>
      <c r="I206">
        <v>1</v>
      </c>
      <c r="J206" s="7"/>
    </row>
    <row r="207" spans="1:10" x14ac:dyDescent="0.25">
      <c r="A207" t="s">
        <v>348</v>
      </c>
      <c r="B207" t="s">
        <v>349</v>
      </c>
      <c r="C207">
        <v>-1.6</v>
      </c>
      <c r="F207">
        <v>1</v>
      </c>
      <c r="J207" s="7" t="s">
        <v>394</v>
      </c>
    </row>
    <row r="208" spans="1:10" x14ac:dyDescent="0.25">
      <c r="A208" t="s">
        <v>350</v>
      </c>
      <c r="B208" t="s">
        <v>351</v>
      </c>
      <c r="C208">
        <v>-0.6</v>
      </c>
      <c r="F208">
        <v>1</v>
      </c>
      <c r="J208" s="7"/>
    </row>
    <row r="209" spans="1:10" x14ac:dyDescent="0.25">
      <c r="A209" t="s">
        <v>352</v>
      </c>
      <c r="B209" t="s">
        <v>354</v>
      </c>
      <c r="C209">
        <v>0.5</v>
      </c>
      <c r="F209">
        <v>1</v>
      </c>
      <c r="J209" s="7"/>
    </row>
    <row r="210" spans="1:10" x14ac:dyDescent="0.25">
      <c r="A210" t="s">
        <v>355</v>
      </c>
      <c r="B210" t="s">
        <v>353</v>
      </c>
      <c r="C210">
        <v>0.6</v>
      </c>
      <c r="F210">
        <v>1</v>
      </c>
      <c r="J210" s="7"/>
    </row>
    <row r="211" spans="1:10" x14ac:dyDescent="0.25">
      <c r="A211" t="s">
        <v>303</v>
      </c>
      <c r="B211" t="s">
        <v>157</v>
      </c>
      <c r="C211">
        <v>-2.4</v>
      </c>
      <c r="F211">
        <v>1</v>
      </c>
      <c r="J211" s="7"/>
    </row>
    <row r="212" spans="1:10" x14ac:dyDescent="0.25">
      <c r="A212" t="s">
        <v>356</v>
      </c>
      <c r="B212" t="s">
        <v>357</v>
      </c>
      <c r="C212">
        <v>-0.8</v>
      </c>
      <c r="G212">
        <v>1</v>
      </c>
      <c r="J212" s="7"/>
    </row>
    <row r="213" spans="1:10" x14ac:dyDescent="0.25">
      <c r="A213" t="s">
        <v>358</v>
      </c>
      <c r="B213" t="s">
        <v>69</v>
      </c>
      <c r="C213">
        <v>-3.6</v>
      </c>
      <c r="G213">
        <v>1</v>
      </c>
      <c r="J213" s="7"/>
    </row>
    <row r="214" spans="1:10" x14ac:dyDescent="0.25">
      <c r="A214" t="s">
        <v>359</v>
      </c>
      <c r="B214" t="s">
        <v>74</v>
      </c>
      <c r="C214">
        <v>-1.7</v>
      </c>
      <c r="G214">
        <v>1</v>
      </c>
      <c r="J214" s="7"/>
    </row>
    <row r="215" spans="1:10" x14ac:dyDescent="0.25">
      <c r="A215" t="s">
        <v>360</v>
      </c>
      <c r="B215" t="s">
        <v>362</v>
      </c>
      <c r="C215">
        <f>6.2-3</f>
        <v>3.2</v>
      </c>
      <c r="H215">
        <v>1</v>
      </c>
      <c r="J215" s="7"/>
    </row>
    <row r="216" spans="1:10" x14ac:dyDescent="0.25">
      <c r="A216" t="s">
        <v>361</v>
      </c>
      <c r="B216" t="s">
        <v>363</v>
      </c>
      <c r="C216">
        <f>6.2-6</f>
        <v>0.20000000000000018</v>
      </c>
      <c r="H216">
        <v>1</v>
      </c>
      <c r="J216" s="7"/>
    </row>
    <row r="217" spans="1:10" x14ac:dyDescent="0.25">
      <c r="A217" t="s">
        <v>364</v>
      </c>
      <c r="B217" t="s">
        <v>365</v>
      </c>
      <c r="C217">
        <f>6.2-9</f>
        <v>-2.8</v>
      </c>
      <c r="H217">
        <v>1</v>
      </c>
      <c r="J217" s="7"/>
    </row>
    <row r="218" spans="1:10" x14ac:dyDescent="0.25">
      <c r="A218" t="s">
        <v>366</v>
      </c>
      <c r="B218" t="s">
        <v>370</v>
      </c>
      <c r="C218">
        <f>7.3-3</f>
        <v>4.3</v>
      </c>
      <c r="H218">
        <v>1</v>
      </c>
      <c r="J218" s="7"/>
    </row>
    <row r="219" spans="1:10" x14ac:dyDescent="0.25">
      <c r="A219" t="s">
        <v>367</v>
      </c>
      <c r="B219" t="s">
        <v>338</v>
      </c>
      <c r="C219">
        <f>7.3-6</f>
        <v>1.2999999999999998</v>
      </c>
      <c r="H219">
        <v>1</v>
      </c>
      <c r="J219" s="7"/>
    </row>
    <row r="220" spans="1:10" x14ac:dyDescent="0.25">
      <c r="A220" t="s">
        <v>368</v>
      </c>
      <c r="B220" t="s">
        <v>369</v>
      </c>
      <c r="C220">
        <f>7.3-9</f>
        <v>-1.7000000000000002</v>
      </c>
      <c r="H220">
        <v>1</v>
      </c>
      <c r="J220" s="7"/>
    </row>
    <row r="221" spans="1:10" x14ac:dyDescent="0.25">
      <c r="A221" t="s">
        <v>371</v>
      </c>
      <c r="B221" t="s">
        <v>374</v>
      </c>
      <c r="C221">
        <f>9.5-3</f>
        <v>6.5</v>
      </c>
      <c r="H221">
        <v>1</v>
      </c>
      <c r="J221" s="7"/>
    </row>
    <row r="222" spans="1:10" x14ac:dyDescent="0.25">
      <c r="A222" t="s">
        <v>372</v>
      </c>
      <c r="B222" t="s">
        <v>375</v>
      </c>
      <c r="C222">
        <f>9.5-6</f>
        <v>3.5</v>
      </c>
      <c r="H222">
        <v>1</v>
      </c>
      <c r="J222" s="7"/>
    </row>
    <row r="223" spans="1:10" x14ac:dyDescent="0.25">
      <c r="A223" t="s">
        <v>373</v>
      </c>
      <c r="B223" t="s">
        <v>376</v>
      </c>
      <c r="C223">
        <f>9.5-9</f>
        <v>0.5</v>
      </c>
      <c r="H223">
        <v>1</v>
      </c>
      <c r="J223" s="7"/>
    </row>
    <row r="224" spans="1:10" x14ac:dyDescent="0.25">
      <c r="A224" t="s">
        <v>377</v>
      </c>
      <c r="B224" t="s">
        <v>378</v>
      </c>
      <c r="C224">
        <f>9.5-12</f>
        <v>-2.5</v>
      </c>
      <c r="H224">
        <v>1</v>
      </c>
      <c r="J224" s="7"/>
    </row>
    <row r="225" spans="1:10" x14ac:dyDescent="0.25">
      <c r="A225" t="s">
        <v>379</v>
      </c>
      <c r="B225" t="s">
        <v>56</v>
      </c>
      <c r="C225">
        <f>5.3-4</f>
        <v>1.2999999999999998</v>
      </c>
      <c r="H225">
        <v>1</v>
      </c>
      <c r="J225" s="7"/>
    </row>
    <row r="226" spans="1:10" x14ac:dyDescent="0.25">
      <c r="A226" t="s">
        <v>380</v>
      </c>
      <c r="B226" t="s">
        <v>382</v>
      </c>
      <c r="C226">
        <f>5.3-7</f>
        <v>-1.7000000000000002</v>
      </c>
      <c r="H226">
        <v>1</v>
      </c>
      <c r="J226" s="7"/>
    </row>
    <row r="227" spans="1:10" x14ac:dyDescent="0.25">
      <c r="A227" t="s">
        <v>381</v>
      </c>
      <c r="B227" t="s">
        <v>383</v>
      </c>
      <c r="C227">
        <f>5.3-10</f>
        <v>-4.7</v>
      </c>
      <c r="H227">
        <v>1</v>
      </c>
      <c r="J227" s="7"/>
    </row>
    <row r="228" spans="1:10" x14ac:dyDescent="0.25">
      <c r="A228" t="s">
        <v>384</v>
      </c>
      <c r="B228" t="s">
        <v>62</v>
      </c>
      <c r="C228">
        <f>5.9-4</f>
        <v>1.9000000000000004</v>
      </c>
      <c r="H228">
        <v>1</v>
      </c>
      <c r="J228" s="7"/>
    </row>
    <row r="229" spans="1:10" x14ac:dyDescent="0.25">
      <c r="A229" t="s">
        <v>385</v>
      </c>
      <c r="B229" t="s">
        <v>93</v>
      </c>
      <c r="C229">
        <f>5.9-7</f>
        <v>-1.0999999999999996</v>
      </c>
      <c r="H229">
        <v>1</v>
      </c>
      <c r="J229" s="7"/>
    </row>
    <row r="230" spans="1:10" x14ac:dyDescent="0.25">
      <c r="A230" t="s">
        <v>386</v>
      </c>
      <c r="B230" t="s">
        <v>387</v>
      </c>
      <c r="C230">
        <f>5.9-10</f>
        <v>-4.0999999999999996</v>
      </c>
      <c r="H230">
        <v>1</v>
      </c>
      <c r="J230" s="7"/>
    </row>
    <row r="231" spans="1:10" x14ac:dyDescent="0.25">
      <c r="A231" t="s">
        <v>388</v>
      </c>
      <c r="B231" t="s">
        <v>391</v>
      </c>
      <c r="C231">
        <f>4.3-4</f>
        <v>0.29999999999999982</v>
      </c>
      <c r="H231">
        <v>1</v>
      </c>
      <c r="J231" s="7"/>
    </row>
    <row r="232" spans="1:10" x14ac:dyDescent="0.25">
      <c r="A232" t="s">
        <v>389</v>
      </c>
      <c r="B232" t="s">
        <v>392</v>
      </c>
      <c r="C232">
        <f>4.3-7</f>
        <v>-2.7</v>
      </c>
      <c r="H232">
        <v>1</v>
      </c>
      <c r="J232" s="7"/>
    </row>
    <row r="233" spans="1:10" x14ac:dyDescent="0.25">
      <c r="A233" t="s">
        <v>390</v>
      </c>
      <c r="B233" t="s">
        <v>393</v>
      </c>
      <c r="C233">
        <f>4.3-10</f>
        <v>-5.7</v>
      </c>
      <c r="H233">
        <v>1</v>
      </c>
      <c r="J233" s="7"/>
    </row>
    <row r="234" spans="1:10" x14ac:dyDescent="0.25">
      <c r="A234" t="s">
        <v>395</v>
      </c>
      <c r="B234" t="s">
        <v>396</v>
      </c>
      <c r="C234">
        <v>-2.8</v>
      </c>
      <c r="F234">
        <v>1</v>
      </c>
      <c r="J234" s="7" t="s">
        <v>411</v>
      </c>
    </row>
    <row r="235" spans="1:10" x14ac:dyDescent="0.25">
      <c r="A235" t="s">
        <v>305</v>
      </c>
      <c r="B235" t="s">
        <v>304</v>
      </c>
      <c r="C235">
        <v>-2.5499999999999998</v>
      </c>
      <c r="F235">
        <v>1</v>
      </c>
      <c r="J235" s="7"/>
    </row>
    <row r="236" spans="1:10" x14ac:dyDescent="0.25">
      <c r="A236" t="s">
        <v>397</v>
      </c>
      <c r="B236" t="s">
        <v>398</v>
      </c>
      <c r="C236">
        <v>-1.2</v>
      </c>
      <c r="F236">
        <v>1</v>
      </c>
      <c r="J236" s="7"/>
    </row>
    <row r="237" spans="1:10" x14ac:dyDescent="0.25">
      <c r="A237" t="s">
        <v>399</v>
      </c>
      <c r="B237" t="s">
        <v>449</v>
      </c>
      <c r="C237">
        <v>-0.75</v>
      </c>
      <c r="F237">
        <v>1</v>
      </c>
      <c r="J237" s="7"/>
    </row>
    <row r="238" spans="1:10" x14ac:dyDescent="0.25">
      <c r="A238" t="s">
        <v>303</v>
      </c>
      <c r="B238" t="s">
        <v>157</v>
      </c>
      <c r="C238">
        <v>-2.1</v>
      </c>
      <c r="F238">
        <v>1</v>
      </c>
      <c r="J238" s="7"/>
    </row>
    <row r="239" spans="1:10" x14ac:dyDescent="0.25">
      <c r="A239" t="s">
        <v>400</v>
      </c>
      <c r="B239" t="s">
        <v>401</v>
      </c>
      <c r="C239">
        <v>-5</v>
      </c>
      <c r="F239">
        <v>1</v>
      </c>
      <c r="J239" s="7"/>
    </row>
    <row r="240" spans="1:10" x14ac:dyDescent="0.25">
      <c r="A240" t="s">
        <v>402</v>
      </c>
      <c r="B240" t="s">
        <v>403</v>
      </c>
      <c r="C240">
        <v>-3.5</v>
      </c>
      <c r="F240">
        <v>1</v>
      </c>
      <c r="J240" s="7"/>
    </row>
    <row r="241" spans="1:10" x14ac:dyDescent="0.25">
      <c r="A241" t="s">
        <v>404</v>
      </c>
      <c r="B241" t="s">
        <v>405</v>
      </c>
      <c r="C241">
        <v>-3</v>
      </c>
      <c r="F241">
        <v>1</v>
      </c>
      <c r="J241" s="7" t="s">
        <v>410</v>
      </c>
    </row>
    <row r="242" spans="1:10" x14ac:dyDescent="0.25">
      <c r="A242" t="s">
        <v>356</v>
      </c>
      <c r="B242" t="s">
        <v>357</v>
      </c>
      <c r="C242">
        <v>-1</v>
      </c>
      <c r="G242">
        <v>1</v>
      </c>
      <c r="J242" s="7"/>
    </row>
    <row r="243" spans="1:10" x14ac:dyDescent="0.25">
      <c r="A243" t="s">
        <v>358</v>
      </c>
      <c r="B243" t="s">
        <v>69</v>
      </c>
      <c r="C243">
        <v>-3.5</v>
      </c>
      <c r="G243">
        <v>1</v>
      </c>
      <c r="J243" s="7"/>
    </row>
    <row r="244" spans="1:10" x14ac:dyDescent="0.25">
      <c r="A244" t="s">
        <v>406</v>
      </c>
      <c r="B244" t="s">
        <v>340</v>
      </c>
      <c r="C244">
        <f>7.5-5</f>
        <v>2.5</v>
      </c>
      <c r="H244">
        <v>1</v>
      </c>
      <c r="J244" s="7"/>
    </row>
    <row r="245" spans="1:10" x14ac:dyDescent="0.25">
      <c r="A245" t="s">
        <v>407</v>
      </c>
      <c r="B245" t="s">
        <v>64</v>
      </c>
      <c r="C245">
        <f>6-5</f>
        <v>1</v>
      </c>
      <c r="H245">
        <v>1</v>
      </c>
      <c r="J245" s="7"/>
    </row>
    <row r="246" spans="1:10" x14ac:dyDescent="0.25">
      <c r="A246" t="s">
        <v>408</v>
      </c>
      <c r="B246" t="s">
        <v>409</v>
      </c>
      <c r="C246">
        <f>6.5-5</f>
        <v>1.5</v>
      </c>
      <c r="H246">
        <v>1</v>
      </c>
      <c r="J246" s="7"/>
    </row>
    <row r="247" spans="1:10" x14ac:dyDescent="0.25">
      <c r="A247" t="s">
        <v>412</v>
      </c>
      <c r="B247" t="s">
        <v>413</v>
      </c>
      <c r="C247">
        <v>-1.6</v>
      </c>
      <c r="F247">
        <v>1</v>
      </c>
      <c r="J247" s="7" t="s">
        <v>442</v>
      </c>
    </row>
    <row r="248" spans="1:10" x14ac:dyDescent="0.25">
      <c r="A248" t="s">
        <v>414</v>
      </c>
      <c r="B248" t="s">
        <v>415</v>
      </c>
      <c r="C248">
        <v>-0.8</v>
      </c>
      <c r="F248">
        <v>1</v>
      </c>
      <c r="J248" s="7"/>
    </row>
    <row r="249" spans="1:10" x14ac:dyDescent="0.25">
      <c r="A249" t="s">
        <v>416</v>
      </c>
      <c r="B249" t="s">
        <v>332</v>
      </c>
      <c r="C249">
        <v>-0.48</v>
      </c>
      <c r="F249">
        <v>1</v>
      </c>
      <c r="J249" s="7"/>
    </row>
    <row r="250" spans="1:10" x14ac:dyDescent="0.25">
      <c r="A250" t="s">
        <v>418</v>
      </c>
      <c r="B250" t="s">
        <v>419</v>
      </c>
      <c r="C250">
        <v>0.24</v>
      </c>
      <c r="F250">
        <v>1</v>
      </c>
      <c r="J250" s="7"/>
    </row>
    <row r="251" spans="1:10" x14ac:dyDescent="0.25">
      <c r="A251" t="s">
        <v>420</v>
      </c>
      <c r="B251" t="s">
        <v>417</v>
      </c>
      <c r="C251">
        <v>0.64</v>
      </c>
      <c r="F251">
        <v>1</v>
      </c>
      <c r="J251" s="7"/>
    </row>
    <row r="252" spans="1:10" x14ac:dyDescent="0.25">
      <c r="A252" t="s">
        <v>423</v>
      </c>
      <c r="B252" t="s">
        <v>311</v>
      </c>
      <c r="C252">
        <v>-3.2</v>
      </c>
      <c r="F252">
        <v>1</v>
      </c>
      <c r="J252" s="7"/>
    </row>
    <row r="253" spans="1:10" x14ac:dyDescent="0.25">
      <c r="A253" t="s">
        <v>422</v>
      </c>
      <c r="B253" t="s">
        <v>161</v>
      </c>
      <c r="C253">
        <v>-2.7</v>
      </c>
      <c r="F253">
        <v>1</v>
      </c>
      <c r="J253" s="7"/>
    </row>
    <row r="254" spans="1:10" x14ac:dyDescent="0.25">
      <c r="A254" t="s">
        <v>421</v>
      </c>
      <c r="B254" t="s">
        <v>310</v>
      </c>
      <c r="C254">
        <v>-2.2000000000000002</v>
      </c>
      <c r="F254">
        <v>1</v>
      </c>
      <c r="J254" s="7"/>
    </row>
    <row r="255" spans="1:10" x14ac:dyDescent="0.25">
      <c r="A255" t="s">
        <v>424</v>
      </c>
      <c r="B255" t="s">
        <v>302</v>
      </c>
      <c r="C255">
        <v>-2.2000000000000002</v>
      </c>
      <c r="D255">
        <f>-2.2+0.3</f>
        <v>-1.9000000000000001</v>
      </c>
      <c r="E255">
        <f>-2.2-0.3</f>
        <v>-2.5</v>
      </c>
      <c r="F255">
        <v>1</v>
      </c>
      <c r="J255" s="7"/>
    </row>
    <row r="256" spans="1:10" x14ac:dyDescent="0.25">
      <c r="A256" t="s">
        <v>425</v>
      </c>
      <c r="B256" t="s">
        <v>426</v>
      </c>
      <c r="C256">
        <v>-3</v>
      </c>
      <c r="D256">
        <f>-3+0.4</f>
        <v>-2.6</v>
      </c>
      <c r="E256">
        <f>-3-0.4</f>
        <v>-3.4</v>
      </c>
      <c r="F256">
        <v>1</v>
      </c>
      <c r="J256" s="7"/>
    </row>
    <row r="257" spans="1:10" x14ac:dyDescent="0.25">
      <c r="A257" t="s">
        <v>356</v>
      </c>
      <c r="B257" t="s">
        <v>357</v>
      </c>
      <c r="C257">
        <v>-0.73099999999999998</v>
      </c>
      <c r="G257">
        <v>1</v>
      </c>
      <c r="J257" s="7"/>
    </row>
    <row r="258" spans="1:10" x14ac:dyDescent="0.25">
      <c r="A258" t="s">
        <v>427</v>
      </c>
      <c r="B258" t="s">
        <v>428</v>
      </c>
      <c r="C258">
        <v>-2.5499999999999998</v>
      </c>
      <c r="G258">
        <v>1</v>
      </c>
      <c r="J258" s="7"/>
    </row>
    <row r="259" spans="1:10" x14ac:dyDescent="0.25">
      <c r="A259" t="s">
        <v>429</v>
      </c>
      <c r="B259" t="s">
        <v>430</v>
      </c>
      <c r="C259">
        <v>-1.2749999999999999</v>
      </c>
      <c r="G259">
        <v>1</v>
      </c>
      <c r="J259" s="7"/>
    </row>
    <row r="260" spans="1:10" x14ac:dyDescent="0.25">
      <c r="A260" t="s">
        <v>431</v>
      </c>
      <c r="B260" t="s">
        <v>434</v>
      </c>
      <c r="C260">
        <v>0</v>
      </c>
      <c r="G260">
        <v>1</v>
      </c>
      <c r="J260" s="7"/>
    </row>
    <row r="261" spans="1:10" x14ac:dyDescent="0.25">
      <c r="A261" t="s">
        <v>432</v>
      </c>
      <c r="B261" t="s">
        <v>435</v>
      </c>
      <c r="C261">
        <v>0.85</v>
      </c>
      <c r="G261">
        <v>1</v>
      </c>
      <c r="J261" s="7"/>
    </row>
    <row r="262" spans="1:10" x14ac:dyDescent="0.25">
      <c r="A262" t="s">
        <v>433</v>
      </c>
      <c r="B262" t="s">
        <v>436</v>
      </c>
      <c r="C262">
        <v>-0.68</v>
      </c>
      <c r="G262">
        <v>1</v>
      </c>
      <c r="J262" s="7"/>
    </row>
    <row r="263" spans="1:10" x14ac:dyDescent="0.25">
      <c r="A263" t="s">
        <v>437</v>
      </c>
      <c r="B263" t="s">
        <v>71</v>
      </c>
      <c r="C263">
        <v>-2.66</v>
      </c>
      <c r="G263">
        <v>1</v>
      </c>
      <c r="J263" s="7"/>
    </row>
    <row r="264" spans="1:10" x14ac:dyDescent="0.25">
      <c r="A264" t="s">
        <v>359</v>
      </c>
      <c r="B264" t="s">
        <v>74</v>
      </c>
      <c r="C264">
        <v>-1.71</v>
      </c>
      <c r="G264">
        <v>1</v>
      </c>
      <c r="J264" s="7"/>
    </row>
    <row r="265" spans="1:10" x14ac:dyDescent="0.25">
      <c r="A265" t="s">
        <v>438</v>
      </c>
      <c r="B265" t="s">
        <v>439</v>
      </c>
      <c r="C265">
        <v>-0.76</v>
      </c>
      <c r="G265">
        <v>1</v>
      </c>
      <c r="J265" s="7"/>
    </row>
    <row r="266" spans="1:10" x14ac:dyDescent="0.25">
      <c r="A266" t="s">
        <v>440</v>
      </c>
      <c r="B266" t="s">
        <v>441</v>
      </c>
      <c r="C266">
        <v>-1.9</v>
      </c>
      <c r="G266">
        <v>1</v>
      </c>
      <c r="J266" s="7"/>
    </row>
  </sheetData>
  <mergeCells count="30">
    <mergeCell ref="J173:J174"/>
    <mergeCell ref="J176:J190"/>
    <mergeCell ref="J191:J200"/>
    <mergeCell ref="J98:J103"/>
    <mergeCell ref="J94:J97"/>
    <mergeCell ref="J164:J168"/>
    <mergeCell ref="J169:J172"/>
    <mergeCell ref="J152:J154"/>
    <mergeCell ref="J142:J149"/>
    <mergeCell ref="J117:J141"/>
    <mergeCell ref="J162:J163"/>
    <mergeCell ref="J157:J161"/>
    <mergeCell ref="J26:J39"/>
    <mergeCell ref="J2:J7"/>
    <mergeCell ref="J8:J9"/>
    <mergeCell ref="J10:J17"/>
    <mergeCell ref="J18:J21"/>
    <mergeCell ref="J22:J25"/>
    <mergeCell ref="J76:J82"/>
    <mergeCell ref="J59:J75"/>
    <mergeCell ref="J50:J58"/>
    <mergeCell ref="J40:J48"/>
    <mergeCell ref="J111:J116"/>
    <mergeCell ref="J104:J110"/>
    <mergeCell ref="J83:J92"/>
    <mergeCell ref="J201:J206"/>
    <mergeCell ref="J207:J233"/>
    <mergeCell ref="J234:J240"/>
    <mergeCell ref="J241:J246"/>
    <mergeCell ref="J247:J2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E1" sqref="E1"/>
    </sheetView>
  </sheetViews>
  <sheetFormatPr defaultRowHeight="15" x14ac:dyDescent="0.25"/>
  <sheetData>
    <row r="1" spans="1:5" x14ac:dyDescent="0.25">
      <c r="A1">
        <v>6</v>
      </c>
      <c r="B1">
        <v>2</v>
      </c>
      <c r="C1">
        <v>8</v>
      </c>
      <c r="D1">
        <v>4.4000000000000004</v>
      </c>
      <c r="E1">
        <f>D1-B1</f>
        <v>2.4000000000000004</v>
      </c>
    </row>
    <row r="2" spans="1:5" x14ac:dyDescent="0.25">
      <c r="A2">
        <v>8</v>
      </c>
      <c r="B2">
        <v>3</v>
      </c>
      <c r="C2">
        <v>8</v>
      </c>
      <c r="D2">
        <v>4.8</v>
      </c>
      <c r="E2">
        <f t="shared" ref="E2:E19" si="0">D2-B2</f>
        <v>1.7999999999999998</v>
      </c>
    </row>
    <row r="3" spans="1:5" x14ac:dyDescent="0.25">
      <c r="A3">
        <v>8</v>
      </c>
      <c r="B3">
        <v>3</v>
      </c>
      <c r="C3">
        <v>10</v>
      </c>
      <c r="D3">
        <v>4.8</v>
      </c>
      <c r="E3">
        <f t="shared" si="0"/>
        <v>1.7999999999999998</v>
      </c>
    </row>
    <row r="4" spans="1:5" x14ac:dyDescent="0.25">
      <c r="A4">
        <v>8</v>
      </c>
      <c r="B4">
        <v>3</v>
      </c>
      <c r="C4">
        <v>12</v>
      </c>
      <c r="D4">
        <v>4.8</v>
      </c>
      <c r="E4">
        <f t="shared" si="0"/>
        <v>1.7999999999999998</v>
      </c>
    </row>
    <row r="5" spans="1:5" x14ac:dyDescent="0.25">
      <c r="A5">
        <v>8</v>
      </c>
      <c r="B5">
        <v>3</v>
      </c>
      <c r="C5">
        <v>14</v>
      </c>
      <c r="D5">
        <v>4.8</v>
      </c>
      <c r="E5">
        <f t="shared" si="0"/>
        <v>1.7999999999999998</v>
      </c>
    </row>
    <row r="6" spans="1:5" x14ac:dyDescent="0.25">
      <c r="A6">
        <v>8</v>
      </c>
      <c r="B6">
        <v>4</v>
      </c>
      <c r="C6">
        <v>8</v>
      </c>
      <c r="D6">
        <v>4.3</v>
      </c>
      <c r="E6">
        <f t="shared" si="0"/>
        <v>0.29999999999999982</v>
      </c>
    </row>
    <row r="7" spans="1:5" x14ac:dyDescent="0.25">
      <c r="A7">
        <v>8</v>
      </c>
      <c r="B7">
        <v>5</v>
      </c>
      <c r="C7">
        <v>8</v>
      </c>
      <c r="D7">
        <v>4</v>
      </c>
      <c r="E7">
        <f t="shared" si="0"/>
        <v>-1</v>
      </c>
    </row>
    <row r="8" spans="1:5" x14ac:dyDescent="0.25">
      <c r="A8">
        <v>10</v>
      </c>
      <c r="B8">
        <v>4</v>
      </c>
      <c r="C8">
        <v>8</v>
      </c>
      <c r="D8">
        <v>5.3</v>
      </c>
      <c r="E8">
        <f t="shared" si="0"/>
        <v>1.2999999999999998</v>
      </c>
    </row>
    <row r="9" spans="1:5" x14ac:dyDescent="0.25">
      <c r="A9">
        <v>10</v>
      </c>
      <c r="B9">
        <v>4</v>
      </c>
      <c r="C9">
        <v>10</v>
      </c>
      <c r="D9">
        <v>5.3</v>
      </c>
      <c r="E9">
        <f t="shared" si="0"/>
        <v>1.2999999999999998</v>
      </c>
    </row>
    <row r="10" spans="1:5" x14ac:dyDescent="0.25">
      <c r="A10">
        <v>10</v>
      </c>
      <c r="B10">
        <v>4</v>
      </c>
      <c r="C10">
        <v>12</v>
      </c>
      <c r="D10">
        <v>5.3</v>
      </c>
      <c r="E10">
        <f t="shared" si="0"/>
        <v>1.2999999999999998</v>
      </c>
    </row>
    <row r="11" spans="1:5" x14ac:dyDescent="0.25">
      <c r="A11">
        <v>10</v>
      </c>
      <c r="B11">
        <v>4</v>
      </c>
      <c r="C11">
        <v>14</v>
      </c>
      <c r="D11">
        <v>5.3</v>
      </c>
      <c r="E11">
        <f t="shared" si="0"/>
        <v>1.2999999999999998</v>
      </c>
    </row>
    <row r="12" spans="1:5" x14ac:dyDescent="0.25">
      <c r="A12">
        <v>10</v>
      </c>
      <c r="B12">
        <v>5</v>
      </c>
      <c r="C12">
        <v>8</v>
      </c>
      <c r="D12">
        <v>5.0999999999999996</v>
      </c>
      <c r="E12">
        <f t="shared" si="0"/>
        <v>9.9999999999999645E-2</v>
      </c>
    </row>
    <row r="13" spans="1:5" x14ac:dyDescent="0.25">
      <c r="A13">
        <v>10</v>
      </c>
      <c r="B13">
        <v>6</v>
      </c>
      <c r="C13">
        <v>8</v>
      </c>
      <c r="D13">
        <v>5.0999999999999996</v>
      </c>
      <c r="E13">
        <f t="shared" si="0"/>
        <v>-0.90000000000000036</v>
      </c>
    </row>
    <row r="14" spans="1:5" x14ac:dyDescent="0.25">
      <c r="A14">
        <v>12</v>
      </c>
      <c r="B14">
        <v>4</v>
      </c>
      <c r="C14">
        <v>8</v>
      </c>
      <c r="D14">
        <v>6</v>
      </c>
      <c r="E14">
        <f t="shared" si="0"/>
        <v>2</v>
      </c>
    </row>
    <row r="15" spans="1:5" x14ac:dyDescent="0.25">
      <c r="A15">
        <v>12</v>
      </c>
      <c r="B15">
        <v>5</v>
      </c>
      <c r="C15">
        <v>8</v>
      </c>
      <c r="D15">
        <v>5.8</v>
      </c>
      <c r="E15">
        <f t="shared" si="0"/>
        <v>0.79999999999999982</v>
      </c>
    </row>
    <row r="16" spans="1:5" x14ac:dyDescent="0.25">
      <c r="A16">
        <v>12</v>
      </c>
      <c r="B16">
        <v>5</v>
      </c>
      <c r="C16">
        <v>10</v>
      </c>
      <c r="D16">
        <v>5.8</v>
      </c>
      <c r="E16">
        <f t="shared" si="0"/>
        <v>0.79999999999999982</v>
      </c>
    </row>
    <row r="17" spans="1:5" x14ac:dyDescent="0.25">
      <c r="A17">
        <v>12</v>
      </c>
      <c r="B17">
        <v>5</v>
      </c>
      <c r="C17">
        <v>12</v>
      </c>
      <c r="D17">
        <v>5.8</v>
      </c>
      <c r="E17">
        <f t="shared" si="0"/>
        <v>0.79999999999999982</v>
      </c>
    </row>
    <row r="18" spans="1:5" x14ac:dyDescent="0.25">
      <c r="A18">
        <v>12</v>
      </c>
      <c r="B18">
        <v>5</v>
      </c>
      <c r="C18">
        <v>14</v>
      </c>
      <c r="D18">
        <v>5.8</v>
      </c>
      <c r="E18">
        <f t="shared" si="0"/>
        <v>0.79999999999999982</v>
      </c>
    </row>
    <row r="19" spans="1:5" x14ac:dyDescent="0.25">
      <c r="A19">
        <v>12</v>
      </c>
      <c r="B19">
        <v>6</v>
      </c>
      <c r="C19">
        <v>8</v>
      </c>
      <c r="D19">
        <v>5.8</v>
      </c>
      <c r="E19">
        <f t="shared" si="0"/>
        <v>-0.20000000000000018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2025-11-06T21:30:44Z</dcterms:modified>
</cp:coreProperties>
</file>